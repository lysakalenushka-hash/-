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2" autoFilterDateGrouping="1"/>
  </bookViews>
  <sheets>
    <sheet name="общие показатели" sheetId="1" state="visible" r:id="rId1"/>
    <sheet name="УЦ" sheetId="2" state="visible" r:id="rId2"/>
    <sheet name="Расчёт по доступам" sheetId="3" state="visible" r:id="rId3"/>
  </sheets>
  <definedNames>
    <definedName name="_xlnm.Print_Titles" localSheetId="2">'Расчёт по доступам'!$1:$2</definedName>
    <definedName name="_xlnm.Print_Area" localSheetId="2">'Расчёт по доступам'!$A$1:$M$114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1">
    <font>
      <name val="Aptos Narrow"/>
      <charset val="204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color theme="1"/>
      <sz val="9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color rgb="001A1A1A"/>
      <sz val="11"/>
    </font>
    <font>
      <name val="Calibri"/>
      <color rgb="001A1A1A"/>
      <sz val="10"/>
    </font>
    <font>
      <name val="Calibri"/>
      <b val="1"/>
      <color rgb="001F4E79"/>
      <sz val="14"/>
    </font>
    <font>
      <name val="Calibri"/>
      <i val="1"/>
      <color rgb="005B6770"/>
      <sz val="10"/>
    </font>
    <font>
      <name val="Calibri"/>
      <b val="1"/>
      <color rgb="001F4E79"/>
      <sz val="12"/>
    </font>
    <font>
      <name val="Calibri"/>
      <color rgb="001A1A1A"/>
      <sz val="11"/>
    </font>
    <font>
      <name val="Calibri"/>
      <color rgb="005B6770"/>
      <sz val="10"/>
    </font>
    <font>
      <name val="Calibri"/>
      <b val="1"/>
      <color rgb="001A1A1A"/>
      <sz val="12"/>
    </font>
    <font>
      <name val="Calibri"/>
      <color rgb="005B6770"/>
      <sz val="9"/>
    </font>
    <font>
      <name val="Calibri"/>
      <b val="1"/>
      <color rgb="001A1A1A"/>
      <sz val="10"/>
    </font>
    <font>
      <name val="Calibri"/>
      <b val="1"/>
      <color rgb="001F4E79"/>
      <sz val="11"/>
    </font>
    <font>
      <name val="Calibri"/>
      <i val="1"/>
      <color rgb="001A1A1A"/>
      <sz val="10"/>
    </font>
    <font>
      <name val="Calibri"/>
      <b val="1"/>
      <color rgb="00FFFFFF"/>
      <sz val="9"/>
    </font>
    <font>
      <name val="Calibri"/>
      <b val="1"/>
      <color rgb="001F4E79"/>
      <sz val="10"/>
    </font>
    <font>
      <name val="Calibri"/>
      <color rgb="001A1A1A"/>
      <sz val="9"/>
    </font>
    <font>
      <name val="Calibri"/>
      <b val="1"/>
      <color rgb="00A15C07"/>
      <sz val="9"/>
    </font>
    <font>
      <name val="Calibri"/>
      <b val="1"/>
      <color rgb="00176337"/>
      <sz val="14"/>
    </font>
    <font>
      <name val="Aptos Narrow"/>
      <b val="1"/>
      <color rgb="001F4E79"/>
      <sz val="11"/>
    </font>
    <font>
      <name val="Aptos Narrow"/>
      <i val="1"/>
      <color rgb="005B6770"/>
      <sz val="9"/>
    </font>
    <font>
      <name val="Times New Roman"/>
      <b val="1"/>
      <sz val="11"/>
    </font>
    <font>
      <name val="Times New Roman"/>
      <b val="1"/>
      <color rgb="00176337"/>
      <sz val="11"/>
    </font>
    <font>
      <name val="Times New Roman"/>
      <sz val="11"/>
    </font>
    <font>
      <name val="Times New Roman"/>
      <i val="1"/>
      <color rgb="00333333"/>
      <sz val="10"/>
    </font>
    <font>
      <name val="Calibri"/>
      <i val="1"/>
      <color rgb="005B6770"/>
      <sz val="9"/>
    </font>
    <font>
      <name val="Calibri"/>
      <sz val="10"/>
    </font>
    <font>
      <name val="Calibri"/>
      <b val="1"/>
      <sz val="10"/>
    </font>
    <font>
      <name val="Times New Roman"/>
      <b val="1"/>
      <color rgb="00176337"/>
      <sz val="12"/>
    </font>
    <font>
      <name val="Times New Roman"/>
      <i val="1"/>
      <sz val="10"/>
    </font>
  </fonts>
  <fills count="1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F7F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C6EFCE"/>
      </patternFill>
    </fill>
    <fill>
      <patternFill patternType="solid">
        <fgColor rgb="00FFF4E5"/>
      </patternFill>
    </fill>
    <fill>
      <patternFill patternType="solid">
        <fgColor rgb="00FDE9D9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BFCBD9"/>
      </left>
      <right style="thin">
        <color rgb="00BFCBD9"/>
      </right>
      <top style="thin">
        <color rgb="00BFCBD9"/>
      </top>
      <bottom style="thin">
        <color rgb="00BFCBD9"/>
      </bottom>
    </border>
    <border/>
    <border>
      <left/>
      <right/>
      <top style="thin">
        <color rgb="00BFCBD9"/>
      </top>
      <bottom/>
      <diagonal/>
    </border>
    <border>
      <left/>
      <right style="thin">
        <color rgb="00BFCBD9"/>
      </right>
      <top style="thin">
        <color rgb="00BFCBD9"/>
      </top>
      <bottom/>
      <diagonal/>
    </border>
    <border>
      <left/>
      <right style="thin">
        <color rgb="00BFCBD9"/>
      </right>
      <top style="thin">
        <color rgb="00BFCBD9"/>
      </top>
      <bottom style="thin">
        <color rgb="00BFCBD9"/>
      </bottom>
      <diagonal/>
    </border>
    <border>
      <left/>
      <right/>
      <top style="thin">
        <color rgb="00BFCBD9"/>
      </top>
      <bottom style="thin">
        <color rgb="00BFCBD9"/>
      </bottom>
      <diagonal/>
    </border>
  </borders>
  <cellStyleXfs count="1">
    <xf numFmtId="0" fontId="0" fillId="0" borderId="0"/>
  </cellStyleXfs>
  <cellXfs count="192">
    <xf numFmtId="0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left" vertical="top" wrapText="1"/>
    </xf>
    <xf numFmtId="4" fontId="0" fillId="2" borderId="1" applyAlignment="1" pivotButton="0" quotePrefix="0" xfId="0">
      <alignment horizontal="center" vertical="top" wrapText="1"/>
    </xf>
    <xf numFmtId="4" fontId="0" fillId="3" borderId="1" applyAlignment="1" pivotButton="0" quotePrefix="0" xfId="0">
      <alignment horizontal="center" vertical="top" wrapText="1"/>
    </xf>
    <xf numFmtId="0" fontId="0" fillId="0" borderId="6" applyAlignment="1" pivotButton="0" quotePrefix="0" xfId="0">
      <alignment horizontal="left" vertical="top" wrapText="1"/>
    </xf>
    <xf numFmtId="0" fontId="0" fillId="3" borderId="7" applyAlignment="1" pivotButton="0" quotePrefix="0" xfId="0">
      <alignment horizontal="left" vertical="top" wrapText="1"/>
    </xf>
    <xf numFmtId="4" fontId="1" fillId="2" borderId="10" applyAlignment="1" pivotButton="0" quotePrefix="0" xfId="0">
      <alignment horizontal="center" vertical="top" wrapText="1"/>
    </xf>
    <xf numFmtId="0" fontId="1" fillId="2" borderId="10" applyAlignment="1" pivotButton="0" quotePrefix="0" xfId="0">
      <alignment horizontal="left" vertical="top" wrapText="1"/>
    </xf>
    <xf numFmtId="4" fontId="1" fillId="3" borderId="10" applyAlignment="1" pivotButton="0" quotePrefix="0" xfId="0">
      <alignment horizontal="center" vertical="top" wrapText="1"/>
    </xf>
    <xf numFmtId="0" fontId="1" fillId="3" borderId="11" applyAlignment="1" pivotButton="0" quotePrefix="0" xfId="0">
      <alignment horizontal="left" vertical="top" wrapText="1"/>
    </xf>
    <xf numFmtId="0" fontId="1" fillId="2" borderId="10" applyAlignment="1" pivotButton="0" quotePrefix="0" xfId="0">
      <alignment horizontal="center" vertical="top" wrapText="1"/>
    </xf>
    <xf numFmtId="0" fontId="1" fillId="3" borderId="10" applyAlignment="1" pivotButton="0" quotePrefix="0" xfId="0">
      <alignment horizontal="center" vertical="top" wrapText="1"/>
    </xf>
    <xf numFmtId="0" fontId="1" fillId="3" borderId="11" applyAlignment="1" pivotButton="0" quotePrefix="0" xfId="0">
      <alignment horizontal="center" vertical="top" wrapText="1"/>
    </xf>
    <xf numFmtId="4" fontId="1" fillId="2" borderId="2" applyAlignment="1" pivotButton="0" quotePrefix="0" xfId="0">
      <alignment horizontal="center" vertical="top" wrapText="1"/>
    </xf>
    <xf numFmtId="0" fontId="1" fillId="2" borderId="2" applyAlignment="1" pivotButton="0" quotePrefix="0" xfId="0">
      <alignment horizontal="left" vertical="top" wrapText="1"/>
    </xf>
    <xf numFmtId="4" fontId="1" fillId="3" borderId="2" applyAlignment="1" pivotButton="0" quotePrefix="0" xfId="0">
      <alignment horizontal="center" vertical="top" wrapText="1"/>
    </xf>
    <xf numFmtId="0" fontId="1" fillId="3" borderId="18" applyAlignment="1" pivotButton="0" quotePrefix="0" xfId="0">
      <alignment horizontal="left" vertical="top" wrapText="1"/>
    </xf>
    <xf numFmtId="4" fontId="1" fillId="0" borderId="20" applyAlignment="1" pivotButton="0" quotePrefix="0" xfId="0">
      <alignment horizontal="center"/>
    </xf>
    <xf numFmtId="0" fontId="1" fillId="0" borderId="20" applyAlignment="1" pivotButton="0" quotePrefix="0" xfId="0">
      <alignment horizontal="left"/>
    </xf>
    <xf numFmtId="0" fontId="1" fillId="0" borderId="21" applyAlignment="1" pivotButton="0" quotePrefix="0" xfId="0">
      <alignment horizontal="left"/>
    </xf>
    <xf numFmtId="0" fontId="0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1" applyAlignment="1" pivotButton="0" quotePrefix="0" xfId="0">
      <alignment horizontal="left" vertical="top" wrapText="1"/>
    </xf>
    <xf numFmtId="4" fontId="3" fillId="0" borderId="0" pivotButton="0" quotePrefix="0" xfId="0"/>
    <xf numFmtId="49" fontId="3" fillId="0" borderId="0" pivotButton="0" quotePrefix="0" xfId="0"/>
    <xf numFmtId="0" fontId="3" fillId="0" borderId="1" pivotButton="0" quotePrefix="0" xfId="0"/>
    <xf numFmtId="49" fontId="3" fillId="0" borderId="1" pivotButton="0" quotePrefix="0" xfId="0"/>
    <xf numFmtId="4" fontId="3" fillId="0" borderId="1" applyAlignment="1" pivotButton="0" quotePrefix="0" xfId="0">
      <alignment horizontal="center"/>
    </xf>
    <xf numFmtId="4" fontId="7" fillId="0" borderId="1" applyAlignment="1" pivotButton="0" quotePrefix="0" xfId="0">
      <alignment horizontal="center"/>
    </xf>
    <xf numFmtId="4" fontId="0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wrapText="1"/>
    </xf>
    <xf numFmtId="0" fontId="8" fillId="0" borderId="1" applyAlignment="1" pivotButton="0" quotePrefix="0" xfId="0">
      <alignment horizontal="center" wrapText="1"/>
    </xf>
    <xf numFmtId="4" fontId="0" fillId="0" borderId="1" applyAlignment="1" pivotButton="0" quotePrefix="0" xfId="0">
      <alignment horizontal="left" vertical="top" wrapText="1"/>
    </xf>
    <xf numFmtId="0" fontId="0" fillId="0" borderId="1" pivotButton="0" quotePrefix="0" xfId="0"/>
    <xf numFmtId="2" fontId="0" fillId="0" borderId="1" pivotButton="0" quotePrefix="0" xfId="0"/>
    <xf numFmtId="4" fontId="7" fillId="0" borderId="22" applyAlignment="1" pivotButton="0" quotePrefix="0" xfId="0">
      <alignment horizontal="center"/>
    </xf>
    <xf numFmtId="4" fontId="7" fillId="0" borderId="23" applyAlignment="1" pivotButton="0" quotePrefix="0" xfId="0">
      <alignment horizontal="center"/>
    </xf>
    <xf numFmtId="0" fontId="1" fillId="0" borderId="19" applyAlignment="1" pivotButton="0" quotePrefix="0" xfId="0">
      <alignment horizontal="left"/>
    </xf>
    <xf numFmtId="0" fontId="1" fillId="0" borderId="20" applyAlignment="1" pivotButton="0" quotePrefix="0" xfId="0">
      <alignment horizontal="left"/>
    </xf>
    <xf numFmtId="0" fontId="1" fillId="4" borderId="3" applyAlignment="1" pivotButton="0" quotePrefix="0" xfId="0">
      <alignment horizontal="left"/>
    </xf>
    <xf numFmtId="0" fontId="1" fillId="4" borderId="4" applyAlignment="1" pivotButton="0" quotePrefix="0" xfId="0">
      <alignment horizontal="left"/>
    </xf>
    <xf numFmtId="0" fontId="1" fillId="4" borderId="5" applyAlignment="1" pivotButton="0" quotePrefix="0" xfId="0">
      <alignment horizontal="left"/>
    </xf>
    <xf numFmtId="0" fontId="1" fillId="0" borderId="8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17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1" fillId="0" borderId="12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center" vertical="top" wrapText="1"/>
    </xf>
    <xf numFmtId="0" fontId="1" fillId="0" borderId="13" applyAlignment="1" pivotButton="0" quotePrefix="0" xfId="0">
      <alignment horizontal="center" vertical="top" wrapText="1"/>
    </xf>
    <xf numFmtId="0" fontId="1" fillId="0" borderId="10" applyAlignment="1" pivotButton="0" quotePrefix="0" xfId="0">
      <alignment horizontal="center" vertical="top" wrapText="1"/>
    </xf>
    <xf numFmtId="0" fontId="1" fillId="2" borderId="13" applyAlignment="1" pivotButton="0" quotePrefix="0" xfId="0">
      <alignment horizontal="center" vertical="top" wrapText="1"/>
    </xf>
    <xf numFmtId="0" fontId="1" fillId="3" borderId="13" applyAlignment="1" pivotButton="0" quotePrefix="0" xfId="0">
      <alignment horizontal="center" vertical="top" wrapText="1"/>
    </xf>
    <xf numFmtId="0" fontId="1" fillId="3" borderId="14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wrapText="1"/>
    </xf>
    <xf numFmtId="3" fontId="32" fillId="0" borderId="0" pivotButton="0" quotePrefix="0" xfId="0"/>
    <xf numFmtId="4" fontId="32" fillId="0" borderId="1" applyAlignment="1" pivotButton="0" quotePrefix="0" xfId="0">
      <alignment horizontal="center" vertical="center" wrapText="1"/>
    </xf>
    <xf numFmtId="0" fontId="0" fillId="0" borderId="23" pivotButton="0" quotePrefix="0" xfId="0"/>
    <xf numFmtId="49" fontId="32" fillId="0" borderId="0" applyAlignment="1" pivotButton="0" quotePrefix="0" xfId="0">
      <alignment vertical="center" wrapText="1"/>
    </xf>
    <xf numFmtId="4" fontId="33" fillId="0" borderId="0" pivotButton="0" quotePrefix="0" xfId="0"/>
    <xf numFmtId="4" fontId="34" fillId="0" borderId="0" pivotButton="0" quotePrefix="0" xfId="0"/>
    <xf numFmtId="0" fontId="35" fillId="0" borderId="0" applyAlignment="1" pivotButton="0" quotePrefix="0" xfId="0">
      <alignment vertical="top" wrapText="1"/>
    </xf>
    <xf numFmtId="3" fontId="30" fillId="8" borderId="1" pivotButton="0" quotePrefix="0" xfId="0"/>
    <xf numFmtId="0" fontId="31" fillId="0" borderId="0" applyAlignment="1" pivotButton="0" quotePrefix="0" xfId="0">
      <alignment vertical="center" wrapText="1"/>
    </xf>
    <xf numFmtId="9" fontId="30" fillId="8" borderId="1" pivotButton="0" quotePrefix="0" xfId="0"/>
    <xf numFmtId="164" fontId="30" fillId="8" borderId="1" pivotButton="0" quotePrefix="0" xfId="0"/>
    <xf numFmtId="0" fontId="0" fillId="0" borderId="36" pivotButton="0" quotePrefix="0" xfId="0"/>
    <xf numFmtId="0" fontId="0" fillId="0" borderId="4" pivotButton="0" quotePrefix="0" xfId="0"/>
    <xf numFmtId="0" fontId="0" fillId="0" borderId="35" pivotButton="0" quotePrefix="0" xfId="0"/>
    <xf numFmtId="0" fontId="0" fillId="0" borderId="30" pivotButton="0" quotePrefix="0" xfId="0"/>
    <xf numFmtId="0" fontId="0" fillId="0" borderId="33" pivotButton="0" quotePrefix="0" xfId="0"/>
    <xf numFmtId="0" fontId="1" fillId="4" borderId="25" applyAlignment="1" pivotButton="0" quotePrefix="0" xfId="0">
      <alignment horizontal="left"/>
    </xf>
    <xf numFmtId="0" fontId="0" fillId="0" borderId="5" pivotButton="0" quotePrefix="0" xfId="0"/>
    <xf numFmtId="0" fontId="1" fillId="0" borderId="15" applyAlignment="1" pivotButton="0" quotePrefix="0" xfId="0">
      <alignment horizontal="left" vertical="top" wrapText="1"/>
    </xf>
    <xf numFmtId="0" fontId="0" fillId="0" borderId="9" pivotButton="0" quotePrefix="0" xfId="0"/>
    <xf numFmtId="0" fontId="1" fillId="0" borderId="38" applyAlignment="1" pivotButton="0" quotePrefix="0" xfId="0">
      <alignment horizontal="left" vertical="top" wrapText="1"/>
    </xf>
    <xf numFmtId="0" fontId="0" fillId="0" borderId="17" pivotButton="0" quotePrefix="0" xfId="0"/>
    <xf numFmtId="0" fontId="0" fillId="0" borderId="37" pivotButton="0" quotePrefix="0" xfId="0"/>
    <xf numFmtId="0" fontId="31" fillId="0" borderId="0" pivotButton="0" quotePrefix="0" xfId="0"/>
    <xf numFmtId="0" fontId="9" fillId="5" borderId="40" applyAlignment="1" pivotButton="0" quotePrefix="0" xfId="0">
      <alignment horizontal="left" vertical="center" wrapText="1"/>
    </xf>
    <xf numFmtId="0" fontId="10" fillId="6" borderId="40" applyAlignment="1" pivotButton="0" quotePrefix="0" xfId="0">
      <alignment horizontal="left" vertical="center" wrapText="1"/>
    </xf>
    <xf numFmtId="0" fontId="11" fillId="7" borderId="40" applyAlignment="1" pivotButton="0" quotePrefix="0" xfId="0">
      <alignment horizontal="left" vertical="center" wrapText="1"/>
    </xf>
    <xf numFmtId="0" fontId="11" fillId="7" borderId="40" pivotButton="0" quotePrefix="0" xfId="0"/>
    <xf numFmtId="0" fontId="12" fillId="5" borderId="39" applyAlignment="1" pivotButton="0" quotePrefix="0" xfId="0">
      <alignment horizontal="center" vertical="center" wrapText="1"/>
    </xf>
    <xf numFmtId="0" fontId="0" fillId="0" borderId="43" pivotButton="0" quotePrefix="0" xfId="0"/>
    <xf numFmtId="0" fontId="13" fillId="8" borderId="39" applyAlignment="1" pivotButton="0" quotePrefix="0" xfId="0">
      <alignment horizontal="left" vertical="center" wrapText="1"/>
    </xf>
    <xf numFmtId="0" fontId="14" fillId="8" borderId="39" applyAlignment="1" pivotButton="0" quotePrefix="0" xfId="0">
      <alignment horizontal="left" vertical="center" wrapText="1"/>
    </xf>
    <xf numFmtId="3" fontId="15" fillId="8" borderId="39" applyAlignment="1" pivotButton="0" quotePrefix="0" xfId="0">
      <alignment horizontal="center" vertical="center" wrapText="1"/>
    </xf>
    <xf numFmtId="0" fontId="0" fillId="8" borderId="39" pivotButton="0" quotePrefix="0" xfId="0"/>
    <xf numFmtId="9" fontId="15" fillId="8" borderId="39" applyAlignment="1" pivotButton="0" quotePrefix="0" xfId="0">
      <alignment horizontal="center" vertical="center" wrapText="1"/>
    </xf>
    <xf numFmtId="0" fontId="13" fillId="9" borderId="39" applyAlignment="1" pivotButton="0" quotePrefix="0" xfId="0">
      <alignment horizontal="left" vertical="center" wrapText="1"/>
    </xf>
    <xf numFmtId="0" fontId="14" fillId="9" borderId="39" applyAlignment="1" pivotButton="0" quotePrefix="0" xfId="0">
      <alignment horizontal="left" vertical="center" wrapText="1"/>
    </xf>
    <xf numFmtId="164" fontId="15" fillId="9" borderId="39" applyAlignment="1" pivotButton="0" quotePrefix="0" xfId="0">
      <alignment horizontal="center" vertical="center" wrapText="1"/>
    </xf>
    <xf numFmtId="0" fontId="0" fillId="9" borderId="39" pivotButton="0" quotePrefix="0" xfId="0"/>
    <xf numFmtId="0" fontId="16" fillId="10" borderId="40" applyAlignment="1" pivotButton="0" quotePrefix="0" xfId="0">
      <alignment horizontal="left" vertical="center" wrapText="1"/>
    </xf>
    <xf numFmtId="0" fontId="16" fillId="10" borderId="40" pivotButton="0" quotePrefix="0" xfId="0"/>
    <xf numFmtId="0" fontId="17" fillId="7" borderId="40" applyAlignment="1" pivotButton="0" quotePrefix="0" xfId="0">
      <alignment horizontal="left" vertical="center" wrapText="1"/>
    </xf>
    <xf numFmtId="0" fontId="17" fillId="7" borderId="40" pivotButton="0" quotePrefix="0" xfId="0"/>
    <xf numFmtId="0" fontId="18" fillId="0" borderId="39" applyAlignment="1" pivotButton="0" quotePrefix="0" xfId="0">
      <alignment horizontal="left" vertical="center" wrapText="1"/>
    </xf>
    <xf numFmtId="0" fontId="19" fillId="0" borderId="39" applyAlignment="1" pivotButton="0" quotePrefix="0" xfId="0">
      <alignment horizontal="left" vertical="center" wrapText="1"/>
    </xf>
    <xf numFmtId="4" fontId="20" fillId="11" borderId="39" applyAlignment="1" pivotButton="0" quotePrefix="0" xfId="0">
      <alignment horizontal="center" vertical="center" wrapText="1"/>
    </xf>
    <xf numFmtId="0" fontId="0" fillId="11" borderId="39" pivotButton="0" quotePrefix="0" xfId="0"/>
    <xf numFmtId="0" fontId="14" fillId="12" borderId="39" applyAlignment="1" pivotButton="0" quotePrefix="0" xfId="0">
      <alignment horizontal="left" vertical="center" wrapText="1"/>
    </xf>
    <xf numFmtId="0" fontId="21" fillId="12" borderId="39" applyAlignment="1" pivotButton="0" quotePrefix="0" xfId="0">
      <alignment horizontal="left" vertical="center" wrapText="1"/>
    </xf>
    <xf numFmtId="0" fontId="18" fillId="12" borderId="39" applyAlignment="1" pivotButton="0" quotePrefix="0" xfId="0">
      <alignment horizontal="center" vertical="center" wrapText="1"/>
    </xf>
    <xf numFmtId="0" fontId="14" fillId="11" borderId="39" applyAlignment="1" pivotButton="0" quotePrefix="0" xfId="0">
      <alignment horizontal="left" vertical="center" wrapText="1"/>
    </xf>
    <xf numFmtId="0" fontId="21" fillId="11" borderId="39" applyAlignment="1" pivotButton="0" quotePrefix="0" xfId="0">
      <alignment horizontal="left" vertical="center" wrapText="1"/>
    </xf>
    <xf numFmtId="3" fontId="18" fillId="11" borderId="39" applyAlignment="1" pivotButton="0" quotePrefix="0" xfId="0">
      <alignment horizontal="center" vertical="center" wrapText="1"/>
    </xf>
    <xf numFmtId="0" fontId="18" fillId="11" borderId="39" applyAlignment="1" pivotButton="0" quotePrefix="0" xfId="0">
      <alignment horizontal="center" vertical="center" wrapText="1"/>
    </xf>
    <xf numFmtId="3" fontId="18" fillId="12" borderId="39" applyAlignment="1" pivotButton="0" quotePrefix="0" xfId="0">
      <alignment horizontal="center" vertical="center" wrapText="1"/>
    </xf>
    <xf numFmtId="0" fontId="22" fillId="13" borderId="39" applyAlignment="1" pivotButton="0" quotePrefix="0" xfId="0">
      <alignment horizontal="left" vertical="center" wrapText="1"/>
    </xf>
    <xf numFmtId="0" fontId="21" fillId="13" borderId="39" applyAlignment="1" pivotButton="0" quotePrefix="0" xfId="0">
      <alignment horizontal="left" vertical="center" wrapText="1"/>
    </xf>
    <xf numFmtId="3" fontId="23" fillId="13" borderId="39" applyAlignment="1" pivotButton="0" quotePrefix="0" xfId="0">
      <alignment horizontal="center" vertical="center" wrapText="1"/>
    </xf>
    <xf numFmtId="0" fontId="23" fillId="13" borderId="39" applyAlignment="1" pivotButton="0" quotePrefix="0" xfId="0">
      <alignment horizontal="center" vertical="center" wrapText="1"/>
    </xf>
    <xf numFmtId="1" fontId="18" fillId="12" borderId="39" applyAlignment="1" pivotButton="0" quotePrefix="0" xfId="0">
      <alignment horizontal="center" vertical="center" wrapText="1"/>
    </xf>
    <xf numFmtId="0" fontId="24" fillId="14" borderId="40" applyAlignment="1" pivotButton="0" quotePrefix="0" xfId="0">
      <alignment horizontal="left" vertical="center" wrapText="1"/>
    </xf>
    <xf numFmtId="0" fontId="24" fillId="14" borderId="40" pivotButton="0" quotePrefix="0" xfId="0"/>
    <xf numFmtId="0" fontId="25" fillId="5" borderId="39" applyAlignment="1" pivotButton="0" quotePrefix="0" xfId="0">
      <alignment horizontal="center" vertical="center" wrapText="1"/>
    </xf>
    <xf numFmtId="0" fontId="26" fillId="11" borderId="39" applyAlignment="1" pivotButton="0" quotePrefix="0" xfId="0">
      <alignment horizontal="center" vertical="center" wrapText="1"/>
    </xf>
    <xf numFmtId="0" fontId="22" fillId="11" borderId="39" applyAlignment="1" pivotButton="0" quotePrefix="0" xfId="0">
      <alignment horizontal="left" vertical="center" wrapText="1"/>
    </xf>
    <xf numFmtId="1" fontId="14" fillId="11" borderId="39" applyAlignment="1" pivotButton="0" quotePrefix="0" xfId="0">
      <alignment horizontal="center" vertical="center" wrapText="1"/>
    </xf>
    <xf numFmtId="165" fontId="14" fillId="11" borderId="39" applyAlignment="1" pivotButton="0" quotePrefix="0" xfId="0">
      <alignment horizontal="center" vertical="center" wrapText="1"/>
    </xf>
    <xf numFmtId="4" fontId="14" fillId="11" borderId="39" applyAlignment="1" pivotButton="0" quotePrefix="0" xfId="0">
      <alignment horizontal="center" vertical="center" wrapText="1"/>
    </xf>
    <xf numFmtId="4" fontId="22" fillId="11" borderId="39" applyAlignment="1" pivotButton="0" quotePrefix="0" xfId="0">
      <alignment horizontal="center" vertical="center" wrapText="1"/>
    </xf>
    <xf numFmtId="0" fontId="27" fillId="11" borderId="39" applyAlignment="1" pivotButton="0" quotePrefix="0" xfId="0">
      <alignment horizontal="left" vertical="center" wrapText="1"/>
    </xf>
    <xf numFmtId="0" fontId="27" fillId="11" borderId="39" applyAlignment="1" pivotButton="0" quotePrefix="0" xfId="0">
      <alignment horizontal="center" vertical="center" wrapText="1"/>
    </xf>
    <xf numFmtId="0" fontId="26" fillId="12" borderId="39" applyAlignment="1" pivotButton="0" quotePrefix="0" xfId="0">
      <alignment horizontal="center" vertical="center" wrapText="1"/>
    </xf>
    <xf numFmtId="0" fontId="22" fillId="12" borderId="39" applyAlignment="1" pivotButton="0" quotePrefix="0" xfId="0">
      <alignment horizontal="left" vertical="center" wrapText="1"/>
    </xf>
    <xf numFmtId="4" fontId="14" fillId="12" borderId="39" applyAlignment="1" pivotButton="0" quotePrefix="0" xfId="0">
      <alignment horizontal="center" vertical="center" wrapText="1"/>
    </xf>
    <xf numFmtId="165" fontId="14" fillId="12" borderId="39" applyAlignment="1" pivotButton="0" quotePrefix="0" xfId="0">
      <alignment horizontal="center" vertical="center" wrapText="1"/>
    </xf>
    <xf numFmtId="4" fontId="22" fillId="12" borderId="39" applyAlignment="1" pivotButton="0" quotePrefix="0" xfId="0">
      <alignment horizontal="center" vertical="center" wrapText="1"/>
    </xf>
    <xf numFmtId="0" fontId="27" fillId="12" borderId="39" applyAlignment="1" pivotButton="0" quotePrefix="0" xfId="0">
      <alignment horizontal="left" vertical="center" wrapText="1"/>
    </xf>
    <xf numFmtId="0" fontId="27" fillId="12" borderId="39" applyAlignment="1" pivotButton="0" quotePrefix="0" xfId="0">
      <alignment horizontal="center" vertical="center" wrapText="1"/>
    </xf>
    <xf numFmtId="0" fontId="26" fillId="9" borderId="39" applyAlignment="1" pivotButton="0" quotePrefix="0" xfId="0">
      <alignment horizontal="center" vertical="center" wrapText="1"/>
    </xf>
    <xf numFmtId="0" fontId="26" fillId="9" borderId="39" applyAlignment="1" pivotButton="0" quotePrefix="0" xfId="0">
      <alignment horizontal="left" vertical="center" wrapText="1"/>
    </xf>
    <xf numFmtId="0" fontId="26" fillId="9" borderId="39" pivotButton="0" quotePrefix="0" xfId="0"/>
    <xf numFmtId="4" fontId="23" fillId="9" borderId="39" applyAlignment="1" pivotButton="0" quotePrefix="0" xfId="0">
      <alignment horizontal="center" vertical="center" wrapText="1"/>
    </xf>
    <xf numFmtId="0" fontId="23" fillId="7" borderId="40" applyAlignment="1" pivotButton="0" quotePrefix="0" xfId="0">
      <alignment horizontal="left" vertical="center" wrapText="1"/>
    </xf>
    <xf numFmtId="0" fontId="23" fillId="7" borderId="40" pivotButton="0" quotePrefix="0" xfId="0"/>
    <xf numFmtId="0" fontId="28" fillId="15" borderId="39" applyAlignment="1" pivotButton="0" quotePrefix="0" xfId="0">
      <alignment horizontal="center" vertical="center" wrapText="1"/>
    </xf>
    <xf numFmtId="0" fontId="23" fillId="9" borderId="39" applyAlignment="1" pivotButton="0" quotePrefix="0" xfId="0">
      <alignment horizontal="center" vertical="center" wrapText="1"/>
    </xf>
    <xf numFmtId="0" fontId="23" fillId="9" borderId="39" applyAlignment="1" pivotButton="0" quotePrefix="0" xfId="0">
      <alignment horizontal="left" vertical="center" wrapText="1"/>
    </xf>
    <xf numFmtId="0" fontId="18" fillId="11" borderId="39" applyAlignment="1" pivotButton="0" quotePrefix="0" xfId="0">
      <alignment horizontal="left" vertical="center" wrapText="1"/>
    </xf>
    <xf numFmtId="0" fontId="18" fillId="11" borderId="39" pivotButton="0" quotePrefix="0" xfId="0"/>
    <xf numFmtId="0" fontId="20" fillId="11" borderId="39" applyAlignment="1" pivotButton="0" quotePrefix="0" xfId="0">
      <alignment horizontal="center" vertical="center" wrapText="1"/>
    </xf>
    <xf numFmtId="0" fontId="21" fillId="11" borderId="39" pivotButton="0" quotePrefix="0" xfId="0"/>
    <xf numFmtId="0" fontId="13" fillId="11" borderId="39" applyAlignment="1" pivotButton="0" quotePrefix="0" xfId="0">
      <alignment horizontal="left" vertical="center" wrapText="1"/>
    </xf>
    <xf numFmtId="0" fontId="13" fillId="11" borderId="39" pivotButton="0" quotePrefix="0" xfId="0"/>
    <xf numFmtId="0" fontId="17" fillId="13" borderId="39" applyAlignment="1" pivotButton="0" quotePrefix="0" xfId="0">
      <alignment horizontal="left" vertical="center" wrapText="1"/>
    </xf>
    <xf numFmtId="0" fontId="17" fillId="13" borderId="39" pivotButton="0" quotePrefix="0" xfId="0"/>
    <xf numFmtId="4" fontId="29" fillId="13" borderId="39" applyAlignment="1" pivotButton="0" quotePrefix="0" xfId="0">
      <alignment horizontal="center" vertical="center" wrapText="1"/>
    </xf>
    <xf numFmtId="0" fontId="29" fillId="13" borderId="39" applyAlignment="1" pivotButton="0" quotePrefix="0" xfId="0">
      <alignment horizontal="center" vertical="center" wrapText="1"/>
    </xf>
    <xf numFmtId="0" fontId="21" fillId="13" borderId="39" pivotButton="0" quotePrefix="0" xfId="0"/>
    <xf numFmtId="0" fontId="23" fillId="14" borderId="40" applyAlignment="1" pivotButton="0" quotePrefix="0" xfId="0">
      <alignment horizontal="left" vertical="center" wrapText="1"/>
    </xf>
    <xf numFmtId="0" fontId="23" fillId="14" borderId="40" pivotButton="0" quotePrefix="0" xfId="0"/>
    <xf numFmtId="0" fontId="13" fillId="15" borderId="39" applyAlignment="1" pivotButton="0" quotePrefix="0" xfId="0">
      <alignment horizontal="left" vertical="center" wrapText="1"/>
    </xf>
    <xf numFmtId="0" fontId="13" fillId="15" borderId="39" pivotButton="0" quotePrefix="0" xfId="0"/>
    <xf numFmtId="4" fontId="20" fillId="15" borderId="39" applyAlignment="1" pivotButton="0" quotePrefix="0" xfId="0">
      <alignment horizontal="center" vertical="center" wrapText="1"/>
    </xf>
    <xf numFmtId="0" fontId="20" fillId="15" borderId="39" applyAlignment="1" pivotButton="0" quotePrefix="0" xfId="0">
      <alignment horizontal="center" vertical="center" wrapText="1"/>
    </xf>
    <xf numFmtId="0" fontId="21" fillId="15" borderId="39" applyAlignment="1" pivotButton="0" quotePrefix="0" xfId="0">
      <alignment horizontal="left" vertical="center" wrapText="1"/>
    </xf>
    <xf numFmtId="0" fontId="21" fillId="15" borderId="39" pivotButton="0" quotePrefix="0" xfId="0"/>
    <xf numFmtId="2" fontId="20" fillId="11" borderId="39" applyAlignment="1" pivotButton="0" quotePrefix="0" xfId="0">
      <alignment horizontal="center" vertical="center" wrapText="1"/>
    </xf>
    <xf numFmtId="0" fontId="23" fillId="12" borderId="39" applyAlignment="1" pivotButton="0" quotePrefix="0" xfId="0">
      <alignment horizontal="center" vertical="center" wrapText="1"/>
    </xf>
    <xf numFmtId="0" fontId="14" fillId="12" borderId="39" pivotButton="0" quotePrefix="0" xfId="0"/>
    <xf numFmtId="0" fontId="23" fillId="11" borderId="39" applyAlignment="1" pivotButton="0" quotePrefix="0" xfId="0">
      <alignment horizontal="center" vertical="center" wrapText="1"/>
    </xf>
    <xf numFmtId="0" fontId="14" fillId="11" borderId="39" pivotButton="0" quotePrefix="0" xfId="0"/>
    <xf numFmtId="2" fontId="22" fillId="12" borderId="39" applyAlignment="1" pivotButton="0" quotePrefix="0" xfId="0">
      <alignment horizontal="center" vertical="center" wrapText="1"/>
    </xf>
    <xf numFmtId="2" fontId="22" fillId="11" borderId="39" applyAlignment="1" pivotButton="0" quotePrefix="0" xfId="0">
      <alignment horizontal="center" vertical="center" wrapText="1"/>
    </xf>
    <xf numFmtId="0" fontId="24" fillId="10" borderId="40" applyAlignment="1" pivotButton="0" quotePrefix="0" xfId="0">
      <alignment horizontal="left" vertical="center" wrapText="1"/>
    </xf>
    <xf numFmtId="0" fontId="24" fillId="10" borderId="40" pivotButton="0" quotePrefix="0" xfId="0"/>
    <xf numFmtId="49" fontId="32" fillId="0" borderId="0" applyAlignment="1" pivotButton="0" quotePrefix="0" xfId="0">
      <alignment horizontal="left" vertical="center" wrapText="1"/>
    </xf>
    <xf numFmtId="4" fontId="39" fillId="0" borderId="0" pivotButton="0" quotePrefix="0" xfId="0"/>
    <xf numFmtId="0" fontId="40" fillId="0" borderId="0" applyAlignment="1" pivotButton="0" quotePrefix="0" xfId="0">
      <alignment vertical="center" wrapText="1"/>
    </xf>
    <xf numFmtId="4" fontId="32" fillId="0" borderId="0" pivotButton="0" quotePrefix="0" xfId="0"/>
    <xf numFmtId="0" fontId="36" fillId="0" borderId="0" pivotButton="0" quotePrefix="0" xfId="0"/>
    <xf numFmtId="0" fontId="0" fillId="0" borderId="44" pivotButton="0" quotePrefix="0" xfId="0"/>
    <xf numFmtId="0" fontId="37" fillId="0" borderId="0" pivotButton="0" quotePrefix="0" xfId="0"/>
    <xf numFmtId="3" fontId="38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Из чего складывается эффект за 12 месяцев, руб.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4E79"/>
            </a:solidFill>
            <a:ln>
              <a:prstDash val="solid"/>
            </a:ln>
          </spPr>
          <dPt>
            <idx val="0"/>
            <spPr>
              <a:solidFill>
                <a:srgbClr val="1F4E79"/>
              </a:solidFill>
              <a:ln>
                <a:prstDash val="solid"/>
              </a:ln>
            </spPr>
          </dPt>
          <dPt>
            <idx val="1"/>
            <spPr>
              <a:solidFill>
                <a:srgbClr val="2E75B6"/>
              </a:solidFill>
              <a:ln>
                <a:prstDash val="solid"/>
              </a:ln>
            </spPr>
          </dPt>
          <dPt>
            <idx val="2"/>
            <spPr>
              <a:solidFill>
                <a:srgbClr val="C65911"/>
              </a:solidFill>
              <a:ln>
                <a:prstDash val="solid"/>
              </a:ln>
            </spPr>
          </dPt>
          <dPt>
            <idx val="3"/>
            <spPr>
              <a:solidFill>
                <a:srgbClr val="176337"/>
              </a:solidFill>
              <a:ln>
                <a:prstDash val="solid"/>
              </a:ln>
            </spPr>
          </dPt>
          <dLbls>
            <numFmt formatCode="#,##0"/>
            <showVal val="1"/>
            <showCatName val="0"/>
            <showSerName val="0"/>
          </dLbls>
          <cat>
            <numRef>
              <f>'Расчёт по доступам'!$N$60:$N$63</f>
            </numRef>
          </cat>
          <val>
            <numRef>
              <f>'Расчёт по доступам'!$O$60:$O$63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Расчёт</author>
  </authors>
  <commentList>
    <comment ref="E5" authorId="0" shapeId="0">
      <text>
        <t>Факт доступов СУЭК за 12 месяцев. Было 35 000. Лист «Расчёт по доступам», ячейка C6.</t>
      </text>
    </comment>
    <comment ref="E6" authorId="0" shapeId="0">
      <text>
        <t>Доля 100%: объём взят по фактическим назначениям. Было 70%.</t>
      </text>
    </comment>
    <comment ref="E7" authorId="0" shapeId="0">
      <text>
        <t>Человеко-программы / работники. Медиана — 4, в расчёте среднее, чтобы объём совпал с выгрузкой.</t>
      </text>
    </comment>
    <comment ref="E8" authorId="0" shapeId="0">
      <text>
        <t>83 программы каталога за расчётный год. Было 15.</t>
      </text>
    </comment>
  </commentList>
</comments>
</file>

<file path=xl/comments/comment2.xml><?xml version="1.0" encoding="utf-8"?>
<comments xmlns="http://schemas.openxmlformats.org/spreadsheetml/2006/main">
  <authors>
    <author>Расчёт</author>
  </authors>
  <commentList>
    <comment ref="H44" authorId="0" shapeId="0">
      <text>
        <t>Часы на весь объём, не на одну человеко-программу. Часы с системой равны этой ячейке.</t>
      </text>
    </comment>
    <comment ref="H45" authorId="0" shapeId="0">
      <text>
        <t>Часы на весь объём, не на одну человеко-программу. Часы с системой равны этой ячейке.</t>
      </text>
    </comment>
    <comment ref="H46" authorId="0" shapeId="0">
      <text>
        <t>Часы на весь объём, не на одну человеко-программу. Часы с системой равны этой ячейке.</t>
      </text>
    </comment>
    <comment ref="H47" authorId="0" shapeId="0">
      <text>
        <t>Часы на весь объём, не на одну человеко-программу. Часы с системой равны этой ячейке.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100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22"/>
  <sheetViews>
    <sheetView tabSelected="0" topLeftCell="A2" workbookViewId="0">
      <selection activeCell="A14" sqref="A14:XFD15"/>
    </sheetView>
  </sheetViews>
  <sheetFormatPr baseColWidth="8" defaultColWidth="8.8125" defaultRowHeight="13.9"/>
  <cols>
    <col width="8.8125" customWidth="1" style="23" min="1" max="1"/>
    <col width="19.875" customWidth="1" style="23" min="2" max="2"/>
    <col width="25.1875" customWidth="1" style="23" min="3" max="3"/>
    <col width="25.5" customWidth="1" style="23" min="4" max="4"/>
    <col width="24.125" customWidth="1" style="39" min="5" max="5"/>
    <col width="13.875" customWidth="1" style="23" min="6" max="6"/>
    <col width="10.8125" customWidth="1" style="32" min="7" max="7"/>
    <col width="8.8125" customWidth="1" style="23" min="8" max="16384"/>
  </cols>
  <sheetData>
    <row r="2" ht="15.4" customHeight="1">
      <c r="A2" s="30" t="inlineStr">
        <is>
          <t>Экономическая эффективность при использовании РискПроф, сроком 12 мес, по процессам:</t>
        </is>
      </c>
    </row>
    <row r="3" ht="15.4" customHeight="1">
      <c r="A3" s="30" t="n"/>
    </row>
    <row r="4" ht="15.4" customHeight="1">
      <c r="A4" s="30" t="inlineStr">
        <is>
          <t>Количество работников, чел.</t>
        </is>
      </c>
      <c r="C4" s="69">
        <f>УЦ!E5</f>
        <v/>
      </c>
    </row>
    <row r="5" ht="15.4" customHeight="1">
      <c r="A5" s="30" t="n"/>
    </row>
    <row r="6" ht="40.9" customHeight="1">
      <c r="A6" s="24" t="inlineStr">
        <is>
          <t>№</t>
        </is>
      </c>
      <c r="B6" s="25" t="inlineStr">
        <is>
          <t>Процесс СУОТ</t>
        </is>
      </c>
      <c r="C6" s="24" t="inlineStr">
        <is>
          <t>Организация процессов без использования АС</t>
        </is>
      </c>
      <c r="D6" s="24" t="inlineStr">
        <is>
          <t>Организация процессов СУОТ с использованием АС РискПроф</t>
        </is>
      </c>
      <c r="E6" s="44" t="inlineStr">
        <is>
          <t>Экономический эффект 
(с учетом стоимости АС), руб.:</t>
        </is>
      </c>
      <c r="F6" s="45" t="inlineStr">
        <is>
          <t>Экономический эффект в пересчете на 1 работника</t>
        </is>
      </c>
    </row>
    <row r="7">
      <c r="A7" s="26" t="n">
        <v>1</v>
      </c>
      <c r="B7" s="27" t="inlineStr">
        <is>
          <t>Обучение</t>
        </is>
      </c>
      <c r="C7" s="28">
        <f>УЦ!E42</f>
        <v/>
      </c>
      <c r="D7" s="36">
        <f>C13+D13</f>
        <v/>
      </c>
      <c r="E7" s="36">
        <f>C7-D7</f>
        <v/>
      </c>
      <c r="F7" s="36">
        <f>E7/C4</f>
        <v/>
      </c>
    </row>
    <row r="8">
      <c r="A8" s="24" t="n">
        <v>4</v>
      </c>
      <c r="B8" s="25" t="inlineStr">
        <is>
          <t>Всего:</t>
        </is>
      </c>
      <c r="C8" s="70">
        <f>C7</f>
        <v/>
      </c>
      <c r="D8" s="29">
        <f>SUM(D7:D7)</f>
        <v/>
      </c>
      <c r="E8" s="37">
        <f>C8-D8</f>
        <v/>
      </c>
      <c r="F8" s="37">
        <f>E8/C4</f>
        <v/>
      </c>
    </row>
    <row r="11">
      <c r="C11" s="23" t="inlineStr">
        <is>
          <t>Стоимость РискПроф</t>
        </is>
      </c>
    </row>
    <row r="12" ht="27" customHeight="1">
      <c r="A12" s="40" t="inlineStr">
        <is>
          <t>№</t>
        </is>
      </c>
      <c r="B12" s="40" t="inlineStr">
        <is>
          <t>модули</t>
        </is>
      </c>
      <c r="C12" s="40" t="inlineStr">
        <is>
          <t>Стоимость РискПроф (КП)</t>
        </is>
      </c>
      <c r="D12" s="41" t="inlineStr">
        <is>
          <t>стоимость трудозатрат при использовании АС</t>
        </is>
      </c>
    </row>
    <row r="13">
      <c r="A13" s="35" t="n">
        <v>1</v>
      </c>
      <c r="B13" s="34" t="inlineStr">
        <is>
          <t>УЦ</t>
        </is>
      </c>
      <c r="C13" s="36" t="n">
        <v>4890000</v>
      </c>
      <c r="D13" s="42">
        <f>УЦ!G37</f>
        <v/>
      </c>
      <c r="F13" s="23" t="inlineStr">
        <is>
          <t>УЦ</t>
        </is>
      </c>
    </row>
    <row r="14">
      <c r="A14" s="35" t="inlineStr">
        <is>
          <t>3</t>
        </is>
      </c>
      <c r="B14" s="37" t="inlineStr">
        <is>
          <t>Итого:</t>
        </is>
      </c>
      <c r="C14" s="37">
        <f>SUM(C13:C13)</f>
        <v/>
      </c>
      <c r="D14" s="43">
        <f>SUM(D13:D13)</f>
        <v/>
      </c>
      <c r="E14" s="23" t="n"/>
    </row>
    <row r="15">
      <c r="A15" s="35" t="inlineStr">
        <is>
          <t>4</t>
        </is>
      </c>
      <c r="B15" s="37" t="inlineStr">
        <is>
          <t>Всего:</t>
        </is>
      </c>
      <c r="C15" s="37">
        <f>C14+D14</f>
        <v/>
      </c>
      <c r="D15" s="71" t="n"/>
    </row>
    <row r="16">
      <c r="A16" s="33" t="n"/>
      <c r="B16" s="32" t="n"/>
      <c r="C16" s="32" t="n"/>
    </row>
    <row r="17" ht="32" customHeight="1">
      <c r="A17" s="184" t="inlineStr">
        <is>
          <t>Эффект за счёт администрирования и функций, без штрафов, руб.</t>
        </is>
      </c>
      <c r="C17" s="185">
        <f>'Расчёт по доступам'!C64</f>
        <v/>
      </c>
      <c r="D17" s="32" t="n"/>
      <c r="E17" s="186" t="inlineStr">
        <is>
          <t>на 1 работника</t>
        </is>
      </c>
      <c r="F17" s="187">
        <f>C17/C4</f>
        <v/>
      </c>
    </row>
    <row r="18" ht="8" customHeight="1"/>
    <row r="19" ht="18" customHeight="1">
      <c r="A19" s="75" t="inlineStr">
        <is>
          <t>Пересчёт по доступам СУЭК за 12 месяцев (24.09.2025–24.09.2026): 8 028 работников, доля 100%, 3,675 программы на работника, каталог из 83 программ. Строка «Обучение» включает штраф 60 × 130 000 руб. Эффект без этого штрафа — зелёное число выше и лист «Расчёт по доступам». Итог «Всего» равен строке «Обучение».</t>
        </is>
      </c>
    </row>
    <row r="20" ht="18" customHeight="1"/>
    <row r="21" ht="18" customHeight="1"/>
    <row r="22" ht="18" customHeight="1"/>
  </sheetData>
  <mergeCells count="3">
    <mergeCell ref="C15:D15"/>
    <mergeCell ref="A19:C22"/>
    <mergeCell ref="A17:B1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5"/>
  <sheetViews>
    <sheetView tabSelected="0" zoomScale="80" zoomScaleNormal="85" workbookViewId="0">
      <selection activeCell="C24" sqref="C24"/>
    </sheetView>
  </sheetViews>
  <sheetFormatPr baseColWidth="8" defaultRowHeight="13.5"/>
  <cols>
    <col width="27.375" customWidth="1" min="2" max="2"/>
    <col width="12.1875" bestFit="1" customWidth="1" min="3" max="3"/>
    <col width="14.125" customWidth="1" min="4" max="4"/>
    <col width="36.1875" customWidth="1" min="5" max="5"/>
    <col width="11.6875" customWidth="1" min="6" max="6"/>
    <col width="14.125" customWidth="1" min="7" max="7"/>
    <col width="36.1875" customWidth="1" min="8" max="8"/>
    <col width="46" customWidth="1" min="9" max="9"/>
  </cols>
  <sheetData>
    <row r="1" ht="17.65" customHeight="1">
      <c r="A1" s="60" t="inlineStr">
        <is>
          <t>Экономическое обоснование использования АС "РискПроф-Учебный центр"</t>
        </is>
      </c>
    </row>
    <row r="3">
      <c r="A3" t="inlineStr">
        <is>
          <t>Исходные данные:</t>
        </is>
      </c>
    </row>
    <row r="5" ht="32" customHeight="1">
      <c r="A5" s="47" t="inlineStr">
        <is>
          <t>Количество работников, чел.</t>
        </is>
      </c>
      <c r="B5" s="47" t="n"/>
      <c r="C5" s="47" t="n"/>
      <c r="D5" s="47" t="n"/>
      <c r="E5" s="76">
        <f>'Расчёт по доступам'!C6</f>
        <v/>
      </c>
      <c r="I5" s="77" t="inlineStr">
        <is>
          <t>Факт: работники с программой обучения за 12 мес. Было 35 000.</t>
        </is>
      </c>
    </row>
    <row r="6" ht="32" customHeight="1">
      <c r="A6" s="47" t="inlineStr">
        <is>
          <t>Доля работников, подлежащих обучению (не освобожденных)</t>
        </is>
      </c>
      <c r="B6" s="47" t="n"/>
      <c r="C6" s="47" t="n"/>
      <c r="D6" s="47" t="n"/>
      <c r="E6" s="78">
        <f>'Расчёт по доступам'!C7</f>
        <v/>
      </c>
      <c r="I6" s="77" t="inlineStr">
        <is>
          <t>Доля 100%. К фактическому потоку множитель 0,7 не применяется.</t>
        </is>
      </c>
    </row>
    <row r="7" ht="32" customHeight="1">
      <c r="A7" s="47" t="inlineStr">
        <is>
          <t>Среднее количество программ обучения на 1 работника, ед.</t>
        </is>
      </c>
      <c r="B7" s="47" t="n"/>
      <c r="C7" s="47" t="n"/>
      <c r="D7" s="47" t="n"/>
      <c r="E7" s="79">
        <f>'Расчёт по доступам'!C10</f>
        <v/>
      </c>
      <c r="I7" s="77" t="inlineStr">
        <is>
          <t>Среднее = человеко-программы / работники. Медиана за год — 4.</t>
        </is>
      </c>
    </row>
    <row r="8" ht="32" customHeight="1">
      <c r="A8" s="47" t="inlineStr">
        <is>
          <t>Общее количество программ обучения у работодателя, ед.</t>
        </is>
      </c>
      <c r="B8" s="47" t="n"/>
      <c r="C8" s="47" t="n"/>
      <c r="D8" s="47" t="n"/>
      <c r="E8" s="76">
        <f>'Расчёт по доступам'!C9</f>
        <v/>
      </c>
      <c r="I8" s="77" t="inlineStr">
        <is>
          <t>Программы каталога за расчётный год, без тестов и демо. Было 15.</t>
        </is>
      </c>
    </row>
    <row r="9">
      <c r="A9" s="47" t="n"/>
      <c r="B9" s="47" t="n"/>
      <c r="C9" s="47" t="n"/>
      <c r="D9" s="47" t="n"/>
      <c r="E9" s="47" t="n"/>
    </row>
    <row r="10" ht="26.45" customHeight="1">
      <c r="A10" s="68" t="inlineStr">
        <is>
          <t>Средняя заработная плата специалиста, задействованного в выполнении перечисленных ниже видов работ, в мес., руб.</t>
        </is>
      </c>
      <c r="B10" s="80" t="n"/>
      <c r="C10" s="80" t="n"/>
      <c r="D10" s="71" t="n"/>
      <c r="E10" s="47">
        <f>60000*1.302</f>
        <v/>
      </c>
    </row>
    <row r="11" ht="31.25" customHeight="1">
      <c r="A11" s="68" t="inlineStr">
        <is>
          <t>Средняя заработная плата специалиста, задействованного в выполнении перечисленных ниже видов работ, в час, руб.</t>
        </is>
      </c>
      <c r="B11" s="80" t="n"/>
      <c r="C11" s="80" t="n"/>
      <c r="D11" s="71" t="n"/>
      <c r="E11" s="48">
        <f>E10/22/8</f>
        <v/>
      </c>
    </row>
    <row r="12">
      <c r="A12" s="47" t="n"/>
      <c r="B12" s="47" t="n"/>
      <c r="C12" s="47" t="n"/>
      <c r="D12" s="47" t="n"/>
      <c r="E12" s="48" t="n"/>
    </row>
    <row r="13">
      <c r="A13" s="47" t="inlineStr">
        <is>
          <t>Средний размер штрафа за несоответствия в сфере обучения, руб.</t>
        </is>
      </c>
      <c r="B13" s="47" t="n"/>
      <c r="C13" s="47" t="n"/>
      <c r="D13" s="47" t="n"/>
      <c r="E13" s="47" t="n">
        <v>130000</v>
      </c>
    </row>
    <row r="14" ht="13.9" customHeight="1" thickBot="1"/>
    <row r="15" ht="13.9" customHeight="1">
      <c r="A15" s="61" t="inlineStr">
        <is>
          <t>№ п/п</t>
        </is>
      </c>
      <c r="B15" s="63" t="inlineStr">
        <is>
          <t>Вид работ</t>
        </is>
      </c>
      <c r="C15" s="65" t="inlineStr">
        <is>
          <t>Без использования АС</t>
        </is>
      </c>
      <c r="D15" s="81" t="n"/>
      <c r="E15" s="82" t="n"/>
      <c r="F15" s="66" t="inlineStr">
        <is>
          <t>С использованием АС</t>
        </is>
      </c>
      <c r="G15" s="81" t="n"/>
      <c r="H15" s="82" t="n"/>
    </row>
    <row r="16" ht="28.15" customHeight="1" thickBot="1">
      <c r="A16" s="83" t="n"/>
      <c r="B16" s="84" t="n"/>
      <c r="C16" s="12" t="inlineStr">
        <is>
          <t>Время на ед., час</t>
        </is>
      </c>
      <c r="D16" s="12" t="inlineStr">
        <is>
          <t>Стоимость, руб.</t>
        </is>
      </c>
      <c r="E16" s="12" t="inlineStr">
        <is>
          <t>Комментарий</t>
        </is>
      </c>
      <c r="F16" s="13" t="inlineStr">
        <is>
          <t>Время, час</t>
        </is>
      </c>
      <c r="G16" s="13" t="inlineStr">
        <is>
          <t>Стоимость, руб.</t>
        </is>
      </c>
      <c r="H16" s="14" t="inlineStr">
        <is>
          <t>Комментарий</t>
        </is>
      </c>
    </row>
    <row r="17" ht="13.9" customHeight="1">
      <c r="A17" s="85" t="inlineStr">
        <is>
          <t>1. Администрирование процесса обучения</t>
        </is>
      </c>
      <c r="B17" s="81" t="n"/>
      <c r="C17" s="81" t="n"/>
      <c r="D17" s="81" t="n"/>
      <c r="E17" s="81" t="n"/>
      <c r="F17" s="81" t="n"/>
      <c r="G17" s="81" t="n"/>
      <c r="H17" s="86" t="n"/>
    </row>
    <row r="18" ht="40.5" customHeight="1">
      <c r="A18" s="6" t="inlineStr">
        <is>
          <t>1.1.</t>
        </is>
      </c>
      <c r="B18" s="2" t="inlineStr">
        <is>
          <t>Внесение сведений о работниках из штатного расписания в АС</t>
        </is>
      </c>
      <c r="C18" s="4" t="n">
        <v>0</v>
      </c>
      <c r="D18" s="4" t="n">
        <v>0</v>
      </c>
      <c r="E18" s="3" t="inlineStr">
        <is>
          <t>-</t>
        </is>
      </c>
      <c r="F18" s="5">
        <f>5/60</f>
        <v/>
      </c>
      <c r="G18" s="5">
        <f>F18*E11</f>
        <v/>
      </c>
      <c r="H18" s="7" t="inlineStr">
        <is>
          <t>Из расчета 5 минут на заполнение сведений о работниках в установленном шаблоне и загрузку файла в СДО</t>
        </is>
      </c>
    </row>
    <row r="19" ht="54" customHeight="1">
      <c r="A19" s="6" t="inlineStr">
        <is>
          <t>1.2.</t>
        </is>
      </c>
      <c r="B19" s="2" t="inlineStr">
        <is>
          <t>Формирование матрицы обучения</t>
        </is>
      </c>
      <c r="C19" s="4">
        <f>2/60*E5*E6</f>
        <v/>
      </c>
      <c r="D19" s="4">
        <f>C19*E11</f>
        <v/>
      </c>
      <c r="E19" s="3" t="inlineStr">
        <is>
          <t>Из расчета 2 минуты на одного работника, подлежащего обучению</t>
        </is>
      </c>
      <c r="F19" s="5">
        <f>30/3600*E5*E6</f>
        <v/>
      </c>
      <c r="G19" s="5">
        <f>F19*E11</f>
        <v/>
      </c>
      <c r="H19" s="7" t="inlineStr">
        <is>
          <t>Из расчета 30 секунд на одного работника, подлежащего обучению, с учетом алгоритмов автоматического назначения отдельных программ</t>
        </is>
      </c>
    </row>
    <row r="20" ht="40.5" customHeight="1">
      <c r="A20" s="6" t="inlineStr">
        <is>
          <t>1.3.</t>
        </is>
      </c>
      <c r="B20" s="2" t="inlineStr">
        <is>
          <t>Назначение учебных курсов в СДО</t>
        </is>
      </c>
      <c r="C20" s="4">
        <f>1/60*E5*E6*E7</f>
        <v/>
      </c>
      <c r="D20" s="4">
        <f>C20*E11</f>
        <v/>
      </c>
      <c r="E20" s="3" t="inlineStr">
        <is>
          <t>Из расчета 1 минута на одну человеко-программу</t>
        </is>
      </c>
      <c r="F20" s="5" t="n">
        <v>4</v>
      </c>
      <c r="G20" s="5">
        <f>F20*E11</f>
        <v/>
      </c>
      <c r="H20" s="7" t="inlineStr">
        <is>
          <t>Из расчета 4 часа на весь объем человеко-программ (автоматическое назначение учебных курсов)</t>
        </is>
      </c>
    </row>
    <row r="21" ht="40.5" customHeight="1">
      <c r="A21" s="6" t="inlineStr">
        <is>
          <t>1.4.</t>
        </is>
      </c>
      <c r="B21" s="2" t="inlineStr">
        <is>
          <t>Направление уведомлений о предстоящем обучении</t>
        </is>
      </c>
      <c r="C21" s="4">
        <f>1/60*E5*E6*E7</f>
        <v/>
      </c>
      <c r="D21" s="4">
        <f>C21*E11</f>
        <v/>
      </c>
      <c r="E21" s="3" t="inlineStr">
        <is>
          <t>Из расчета 1 минута на одну человеко-программу</t>
        </is>
      </c>
      <c r="F21" s="5" t="n">
        <v>4</v>
      </c>
      <c r="G21" s="5">
        <f>F21*E11</f>
        <v/>
      </c>
      <c r="H21" s="7" t="inlineStr">
        <is>
          <t>Из расчета 4 часа на весь объем человеко-программ (автоматическое направление уведомлений)</t>
        </is>
      </c>
    </row>
    <row r="22" ht="40.5" customHeight="1">
      <c r="A22" s="6" t="inlineStr">
        <is>
          <t>1.5.</t>
        </is>
      </c>
      <c r="B22" s="2" t="inlineStr">
        <is>
          <t>Отслеживание успеваемости работников</t>
        </is>
      </c>
      <c r="C22" s="4">
        <f>30/3600*E5*E6*E7</f>
        <v/>
      </c>
      <c r="D22" s="4">
        <f>C22*E11</f>
        <v/>
      </c>
      <c r="E22" s="3" t="inlineStr">
        <is>
          <t>Из расчета 30 секунд на одну человеко-программу</t>
        </is>
      </c>
      <c r="F22" s="5" t="n">
        <v>4</v>
      </c>
      <c r="G22" s="5">
        <f>F22*E11</f>
        <v/>
      </c>
      <c r="H22" s="7" t="inlineStr">
        <is>
          <t>Из расчета 4 часа на весь объем человеко-программ (автоматическое формирование отчетов об успеваемости)</t>
        </is>
      </c>
    </row>
    <row r="23" ht="40.5" customHeight="1">
      <c r="A23" s="6" t="inlineStr">
        <is>
          <t>1.6.</t>
        </is>
      </c>
      <c r="B23" s="2" t="inlineStr">
        <is>
          <t>Оформление протоколов проверки знания</t>
        </is>
      </c>
      <c r="C23" s="4">
        <f>3/60*E5*E6*E7</f>
        <v/>
      </c>
      <c r="D23" s="4">
        <f>C23*E11</f>
        <v/>
      </c>
      <c r="E23" s="3" t="inlineStr">
        <is>
          <t>Из расчета 3 минуты на одну человеко-программу</t>
        </is>
      </c>
      <c r="F23" s="5" t="n">
        <v>4</v>
      </c>
      <c r="G23" s="5">
        <f>F23*E11</f>
        <v/>
      </c>
      <c r="H23" s="7" t="inlineStr">
        <is>
          <t>Из расчета 4 часа на весь объем человеко-программ (автоматическое формирование протоколов)</t>
        </is>
      </c>
    </row>
    <row r="24" ht="54" customHeight="1">
      <c r="A24" s="6" t="inlineStr">
        <is>
          <t>1.7.</t>
        </is>
      </c>
      <c r="B24" s="2" t="inlineStr">
        <is>
          <t>Передача данных в РОЛ и внесение номера в протокол</t>
        </is>
      </c>
      <c r="C24" s="4">
        <f>1/60*E5*E6*E7</f>
        <v/>
      </c>
      <c r="D24" s="4">
        <f>C24*E11</f>
        <v/>
      </c>
      <c r="E24" s="3" t="inlineStr">
        <is>
          <t>Из расчета 1 минута на одну человеко-программу</t>
        </is>
      </c>
      <c r="F24" s="5" t="n">
        <v>0</v>
      </c>
      <c r="G24" s="5" t="n">
        <v>0</v>
      </c>
      <c r="H24" s="7" t="inlineStr">
        <is>
          <t>Передача данных в РОЛ и возвращение номера в протокол происходит автоматически при формировании протокола</t>
        </is>
      </c>
    </row>
    <row r="25" ht="14.25" customHeight="1" thickBot="1">
      <c r="A25" s="87" t="inlineStr">
        <is>
          <t>Итого по разделу 1</t>
        </is>
      </c>
      <c r="B25" s="88" t="n"/>
      <c r="C25" s="8">
        <f>SUM(C18:C24)</f>
        <v/>
      </c>
      <c r="D25" s="8">
        <f>SUM(D18:D24)</f>
        <v/>
      </c>
      <c r="E25" s="9" t="inlineStr">
        <is>
          <t>-</t>
        </is>
      </c>
      <c r="F25" s="10">
        <f>SUM(F18:F24)</f>
        <v/>
      </c>
      <c r="G25" s="10">
        <f>SUM(G18:G24)</f>
        <v/>
      </c>
      <c r="H25" s="11" t="inlineStr">
        <is>
          <t>-</t>
        </is>
      </c>
    </row>
    <row r="26" ht="13.9" customHeight="1">
      <c r="A26" s="85" t="inlineStr">
        <is>
          <t>2. Методическое обеспечение процесса обучения</t>
        </is>
      </c>
      <c r="B26" s="81" t="n"/>
      <c r="C26" s="81" t="n"/>
      <c r="D26" s="81" t="n"/>
      <c r="E26" s="81" t="n"/>
      <c r="F26" s="81" t="n"/>
      <c r="G26" s="81" t="n"/>
      <c r="H26" s="86" t="n"/>
    </row>
    <row r="27" ht="27" customHeight="1">
      <c r="A27" s="6" t="inlineStr">
        <is>
          <t>2.1.</t>
        </is>
      </c>
      <c r="B27" s="2" t="inlineStr">
        <is>
          <t>Разработка программ обучения</t>
        </is>
      </c>
      <c r="C27" s="4">
        <f>4*E8</f>
        <v/>
      </c>
      <c r="D27" s="4">
        <f>C27*E11</f>
        <v/>
      </c>
      <c r="E27" s="3" t="inlineStr">
        <is>
          <t>Из расчета 4 часа на одну программу обучения</t>
        </is>
      </c>
      <c r="F27" s="5" t="n">
        <v>0</v>
      </c>
      <c r="G27" s="5" t="n">
        <v>0</v>
      </c>
      <c r="H27" s="7" t="inlineStr">
        <is>
          <t>Программы формируются автоматически на основании результатов СОУТ и ОПР</t>
        </is>
      </c>
    </row>
    <row r="28" ht="40.5" customHeight="1">
      <c r="A28" s="6" t="inlineStr">
        <is>
          <t>2.2.</t>
        </is>
      </c>
      <c r="B28" s="2" t="inlineStr">
        <is>
          <t>Актуализация программ обучения</t>
        </is>
      </c>
      <c r="C28" s="4">
        <f>1*2*E8</f>
        <v/>
      </c>
      <c r="D28" s="4">
        <f>C28*E11</f>
        <v/>
      </c>
      <c r="E28" s="3" t="inlineStr">
        <is>
          <t>Из расчета 1 час на одну программу обучения минимум дважды в год (1 марта и 1 сентября)</t>
        </is>
      </c>
      <c r="F28" s="5" t="n">
        <v>0</v>
      </c>
      <c r="G28" s="5" t="n">
        <v>0</v>
      </c>
      <c r="H28" s="7" t="inlineStr">
        <is>
          <t>Программы обновляются автоматически</t>
        </is>
      </c>
    </row>
    <row r="29" ht="27" customHeight="1">
      <c r="A29" s="6" t="inlineStr">
        <is>
          <t>2.3.</t>
        </is>
      </c>
      <c r="B29" s="2" t="inlineStr">
        <is>
          <t>Разработка учебных курсов</t>
        </is>
      </c>
      <c r="C29" s="4">
        <f>80*E8</f>
        <v/>
      </c>
      <c r="D29" s="4">
        <f>C29*E11</f>
        <v/>
      </c>
      <c r="E29" s="3" t="inlineStr">
        <is>
          <t>Из расчета 80 часов на одну программу обучения</t>
        </is>
      </c>
      <c r="F29" s="5" t="n">
        <v>0</v>
      </c>
      <c r="G29" s="5" t="n">
        <v>0</v>
      </c>
      <c r="H29" s="7" t="inlineStr">
        <is>
          <t>Готовые учебные курсы входят в состав  АС</t>
        </is>
      </c>
    </row>
    <row r="30" ht="40.5" customHeight="1">
      <c r="A30" s="6" t="inlineStr">
        <is>
          <t>2.4.</t>
        </is>
      </c>
      <c r="B30" s="2" t="inlineStr">
        <is>
          <t>Актуализация учебных курсов</t>
        </is>
      </c>
      <c r="C30" s="4">
        <f>16*2*E8</f>
        <v/>
      </c>
      <c r="D30" s="4">
        <f>C30*E11</f>
        <v/>
      </c>
      <c r="E30" s="3" t="inlineStr">
        <is>
          <t>Из расчета 16 часов на одну программу обучения минимум дважды в год (1 марта и 1 сентября)</t>
        </is>
      </c>
      <c r="F30" s="5" t="n">
        <v>0</v>
      </c>
      <c r="G30" s="5" t="n">
        <v>0</v>
      </c>
      <c r="H30" s="7" t="inlineStr">
        <is>
          <t>Учебные курсы актуализируются на стороне Правообладателя</t>
        </is>
      </c>
    </row>
    <row r="31" ht="27" customHeight="1">
      <c r="A31" s="6" t="inlineStr">
        <is>
          <t>2.5.</t>
        </is>
      </c>
      <c r="B31" s="2" t="inlineStr">
        <is>
          <t>Разработка материалов для проверки знания</t>
        </is>
      </c>
      <c r="C31" s="4">
        <f>4*E8</f>
        <v/>
      </c>
      <c r="D31" s="4">
        <f>C31*E11</f>
        <v/>
      </c>
      <c r="E31" s="3" t="inlineStr">
        <is>
          <t>Из расчета 4 часа на одну программу обучения</t>
        </is>
      </c>
      <c r="F31" s="5" t="n">
        <v>0</v>
      </c>
      <c r="G31" s="5" t="n">
        <v>0</v>
      </c>
      <c r="H31" s="7" t="inlineStr">
        <is>
          <t>Готовые материалы для проверки знания входят в состав АС</t>
        </is>
      </c>
    </row>
    <row r="32" ht="40.5" customHeight="1">
      <c r="A32" s="6" t="inlineStr">
        <is>
          <t>2.6.</t>
        </is>
      </c>
      <c r="B32" s="2" t="inlineStr">
        <is>
          <t>Актуализация материалов для проверки знания</t>
        </is>
      </c>
      <c r="C32" s="4">
        <f>1*2*E8</f>
        <v/>
      </c>
      <c r="D32" s="4">
        <f>C32*E11</f>
        <v/>
      </c>
      <c r="E32" s="3" t="inlineStr">
        <is>
          <t>Из расчета 1 час на одну программу обучения минимум дважды в год (1 марта и 1 сентября)</t>
        </is>
      </c>
      <c r="F32" s="5" t="n">
        <v>0</v>
      </c>
      <c r="G32" s="5" t="n">
        <v>0</v>
      </c>
      <c r="H32" s="7" t="inlineStr">
        <is>
          <t>Материалы для проверки знания актуализируются на стороне Правообладателя</t>
        </is>
      </c>
    </row>
    <row r="33" ht="14.25" customHeight="1" thickBot="1">
      <c r="A33" s="87" t="inlineStr">
        <is>
          <t>Итого по разделу 2</t>
        </is>
      </c>
      <c r="B33" s="88" t="n"/>
      <c r="C33" s="8">
        <f>SUM(C27:C32)</f>
        <v/>
      </c>
      <c r="D33" s="8">
        <f>SUM(D27:D32)</f>
        <v/>
      </c>
      <c r="E33" s="9" t="inlineStr">
        <is>
          <t>-</t>
        </is>
      </c>
      <c r="F33" s="10">
        <f>SUM(F27:F32)</f>
        <v/>
      </c>
      <c r="G33" s="10">
        <f>SUM(G27:G32)</f>
        <v/>
      </c>
      <c r="H33" s="11" t="inlineStr">
        <is>
          <t>-</t>
        </is>
      </c>
    </row>
    <row r="34" ht="13.9" customHeight="1">
      <c r="A34" s="85" t="inlineStr">
        <is>
          <t>3. Штрафные санкции</t>
        </is>
      </c>
      <c r="B34" s="81" t="n"/>
      <c r="C34" s="81" t="n"/>
      <c r="D34" s="81" t="n"/>
      <c r="E34" s="81" t="n"/>
      <c r="F34" s="81" t="n"/>
      <c r="G34" s="81" t="n"/>
      <c r="H34" s="86" t="n"/>
    </row>
    <row r="35" ht="94.5" customHeight="1">
      <c r="A35" s="6" t="inlineStr">
        <is>
          <t>3.1.</t>
        </is>
      </c>
      <c r="B35" s="2" t="inlineStr">
        <is>
          <t>Административные штрафы за несоответствия в сфере обучения (63 факта)</t>
        </is>
      </c>
      <c r="C35" s="4" t="inlineStr">
        <is>
          <t>-</t>
        </is>
      </c>
      <c r="D35" s="4">
        <f>E13*60</f>
        <v/>
      </c>
      <c r="E35" s="3" t="inlineStr">
        <is>
          <t>Из расчета среднего показателя недоназначения программ / просрочки обучения 10% от общего объема человеко-программ и потенциального выявления в ходе одной проверки 100 недозначенных / просроченных человеко-программ</t>
        </is>
      </c>
      <c r="F35" s="5" t="n">
        <v>0</v>
      </c>
      <c r="G35" s="5" t="n">
        <v>0</v>
      </c>
      <c r="H35" s="7" t="inlineStr">
        <is>
          <t>Риск недоназначения или несоблюдения сроков обучения при использовании АС сведен к минимуму</t>
        </is>
      </c>
    </row>
    <row r="36" ht="14.25" customHeight="1" thickBot="1">
      <c r="A36" s="89" t="inlineStr">
        <is>
          <t>Итого по разделу 3</t>
        </is>
      </c>
      <c r="B36" s="90" t="n"/>
      <c r="C36" s="15">
        <f>SUM(C35:C35)</f>
        <v/>
      </c>
      <c r="D36" s="15">
        <f>SUM(D35:D35)</f>
        <v/>
      </c>
      <c r="E36" s="16" t="inlineStr">
        <is>
          <t>-</t>
        </is>
      </c>
      <c r="F36" s="17">
        <f>SUM(F35:F35)</f>
        <v/>
      </c>
      <c r="G36" s="17">
        <f>SUM(G35:G35)</f>
        <v/>
      </c>
      <c r="H36" s="18" t="inlineStr">
        <is>
          <t>-</t>
        </is>
      </c>
    </row>
    <row r="37" ht="14.25" customHeight="1" thickBot="1">
      <c r="A37" s="51" t="inlineStr">
        <is>
          <t>ИТОГО</t>
        </is>
      </c>
      <c r="B37" s="91" t="n"/>
      <c r="C37" s="19">
        <f>C25+C33+C36</f>
        <v/>
      </c>
      <c r="D37" s="19">
        <f>D25+D33+D36</f>
        <v/>
      </c>
      <c r="E37" s="52" t="inlineStr">
        <is>
          <t>-</t>
        </is>
      </c>
      <c r="F37" s="19">
        <f>F25+F33+F36</f>
        <v/>
      </c>
      <c r="G37" s="19">
        <f>G25+G33+G36</f>
        <v/>
      </c>
      <c r="H37" s="21" t="inlineStr">
        <is>
          <t>-</t>
        </is>
      </c>
    </row>
    <row r="39" ht="13.9" customHeight="1">
      <c r="A39" s="1" t="inlineStr">
        <is>
          <t>Сравнение итоговых затрат:</t>
        </is>
      </c>
    </row>
    <row r="41" ht="83.25" customHeight="1">
      <c r="A41" s="31" t="inlineStr">
        <is>
          <t>№ п/п</t>
        </is>
      </c>
      <c r="B41" s="31" t="inlineStr">
        <is>
          <t>Способ организации процесса</t>
        </is>
      </c>
      <c r="C41" s="31" t="inlineStr">
        <is>
          <t>Расходы по видам работ, руб.</t>
        </is>
      </c>
      <c r="D41" s="31" t="inlineStr">
        <is>
          <t>Расходы на приобретение АС, руб.</t>
        </is>
      </c>
      <c r="E41" s="31" t="inlineStr">
        <is>
          <t>Итоговые расходы всего, руб.</t>
        </is>
      </c>
      <c r="F41" s="31" t="inlineStr">
        <is>
          <t>Итоговые расходы в пересчете на 1 работника, руб.</t>
        </is>
      </c>
      <c r="G41" s="22" t="n"/>
      <c r="H41" s="22" t="n"/>
    </row>
    <row r="42" ht="40.5" customHeight="1">
      <c r="A42" s="2" t="n">
        <v>1</v>
      </c>
      <c r="B42" s="2" t="inlineStr">
        <is>
          <t>Организация процесса силами работодателя, без использования АС</t>
        </is>
      </c>
      <c r="C42" s="46">
        <f>D37</f>
        <v/>
      </c>
      <c r="D42" s="46" t="n">
        <v>0</v>
      </c>
      <c r="E42" s="46">
        <f>C42+D42</f>
        <v/>
      </c>
      <c r="F42" s="46">
        <f>E42/E5</f>
        <v/>
      </c>
      <c r="G42" s="22" t="n"/>
      <c r="H42" s="22" t="n"/>
    </row>
    <row r="43" ht="27" customHeight="1">
      <c r="A43" s="2" t="n">
        <v>2</v>
      </c>
      <c r="B43" s="2" t="inlineStr">
        <is>
          <t>Организация процесса с использованием АС</t>
        </is>
      </c>
      <c r="C43" s="46">
        <f>G37</f>
        <v/>
      </c>
      <c r="D43" s="46">
        <f>'общие показатели'!C13</f>
        <v/>
      </c>
      <c r="E43" s="46">
        <f>C43+D43</f>
        <v/>
      </c>
      <c r="F43" s="46">
        <f>E43/E5</f>
        <v/>
      </c>
      <c r="G43" s="22" t="n"/>
      <c r="H43" s="22" t="n"/>
    </row>
    <row r="44">
      <c r="D44" s="38" t="n"/>
    </row>
    <row r="45" ht="28" customHeight="1">
      <c r="A45" s="77" t="inlineStr">
        <is>
          <t>Исходные E5:E8 перезаписаны по доступам СУЭК за 12 месяцев. Подробности — лист «Расчёт по доступам».</t>
        </is>
      </c>
    </row>
  </sheetData>
  <mergeCells count="15">
    <mergeCell ref="A1:H1"/>
    <mergeCell ref="A45:D45"/>
    <mergeCell ref="A26:H26"/>
    <mergeCell ref="A25:B25"/>
    <mergeCell ref="A33:B33"/>
    <mergeCell ref="A15:A16"/>
    <mergeCell ref="A37:B37"/>
    <mergeCell ref="A36:B36"/>
    <mergeCell ref="A17:H17"/>
    <mergeCell ref="A11:D11"/>
    <mergeCell ref="A10:D10"/>
    <mergeCell ref="F15:H15"/>
    <mergeCell ref="C15:E15"/>
    <mergeCell ref="B15:B16"/>
    <mergeCell ref="A34:H34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O99"/>
  <sheetViews>
    <sheetView showGridLines="0" tabSelected="1" view="normal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56" customWidth="1" min="2" max="2"/>
    <col width="20" customWidth="1" min="3" max="3"/>
    <col width="28" customWidth="1" min="4" max="4"/>
    <col width="16" customWidth="1" min="5" max="5"/>
    <col width="15" customWidth="1" min="6" max="6"/>
    <col width="20" customWidth="1" min="7" max="7"/>
    <col width="16" customWidth="1" min="8" max="8"/>
    <col width="15" customWidth="1" min="9" max="9"/>
    <col width="20" customWidth="1" min="10" max="10"/>
    <col width="20" customWidth="1" min="11" max="11"/>
    <col width="42" customWidth="1" min="12" max="12"/>
    <col width="24" customWidth="1" min="13" max="13"/>
    <col width="28" customWidth="1" min="14" max="14"/>
    <col width="16" customWidth="1" min="15" max="15"/>
  </cols>
  <sheetData>
    <row r="1" ht="30" customHeight="1">
      <c r="A1" s="93" t="inlineStr">
        <is>
          <t>Экономический расчёт процесса подготовки работников по фактическим доступам СУЭК</t>
        </is>
      </c>
    </row>
    <row r="2" ht="34" customHeight="1">
      <c r="A2" s="94" t="inlineStr">
        <is>
          <t>Горизонт — 12 месяцев. При автоматизированной системе компания экономит на администрировании процесса подготовки работников и на выполнении отдельных функций: те же операции занимают меньше часов специалиста, чем при организации без системы.</t>
        </is>
      </c>
    </row>
    <row r="3" ht="8" customHeight="1"/>
    <row r="4" ht="22" customHeight="1">
      <c r="A4" s="95" t="inlineStr">
        <is>
          <t>1. Исходные данные, которыми перезаписан лист «УЦ»</t>
        </is>
      </c>
    </row>
    <row r="5" ht="18" customHeight="1">
      <c r="A5" s="97" t="inlineStr">
        <is>
          <t>Показатель</t>
        </is>
      </c>
      <c r="B5" s="97" t="inlineStr">
        <is>
          <t>Как считается</t>
        </is>
      </c>
      <c r="C5" s="97" t="inlineStr">
        <is>
          <t>Значение</t>
        </is>
      </c>
      <c r="D5" s="98" t="n"/>
    </row>
    <row r="6" ht="38" customHeight="1">
      <c r="A6" s="99" t="inlineStr">
        <is>
          <t>Количество работников, чел.</t>
        </is>
      </c>
      <c r="B6" s="100" t="inlineStr">
        <is>
          <t>Уникальные работники, которым за расчётные 12 месяцев назначена хотя бы одна программа обучения. На листе «УЦ» раньше стояло 35 000.</t>
        </is>
      </c>
      <c r="C6" s="101" t="n">
        <v>8028</v>
      </c>
      <c r="D6" s="98" t="n"/>
    </row>
    <row r="7" ht="38" customHeight="1">
      <c r="A7" s="99" t="inlineStr">
        <is>
          <t>Доля работников, подлежащих обучению</t>
        </is>
      </c>
      <c r="B7" s="100" t="inlineStr">
        <is>
          <t>Равна 100%. Выгрузка — это уже назначенное обучение. Множитель 0,7 к фактическому потоку занизил бы его: освобождённых работников в файле нет. Раньше было 70%.</t>
        </is>
      </c>
      <c r="C7" s="103" t="n">
        <v>1</v>
      </c>
      <c r="D7" s="98" t="n"/>
    </row>
    <row r="8" ht="38" customHeight="1">
      <c r="A8" s="99" t="inlineStr">
        <is>
          <t>Человеко-программы за 12 месяцев, ед.</t>
        </is>
      </c>
      <c r="B8" s="100" t="inlineStr">
        <is>
          <t>Уникальные доступы к программам обучения за расчётный год. Считается в разделе 2: все доступы года минус тесты, билеты, курсы подготовки и фрагменты тем.</t>
        </is>
      </c>
      <c r="C8" s="101">
        <f>C33</f>
        <v/>
      </c>
      <c r="D8" s="98" t="n"/>
    </row>
    <row r="9" ht="38" customHeight="1">
      <c r="A9" s="99" t="inlineStr">
        <is>
          <t>Программ обучения у работодателя, ед.</t>
        </is>
      </c>
      <c r="B9" s="100" t="inlineStr">
        <is>
          <t>Уникальные наименования программ за расчётный год. 85 идентификаторов курса сведены к 83 названиям. Раньше было 15.</t>
        </is>
      </c>
      <c r="C9" s="101" t="n">
        <v>83</v>
      </c>
      <c r="D9" s="98" t="n"/>
    </row>
    <row r="10" ht="36" customHeight="1">
      <c r="A10" s="104" t="inlineStr">
        <is>
          <t>Среднее число программ на 1 работника, ед.</t>
        </is>
      </c>
      <c r="B10" s="105" t="inlineStr">
        <is>
          <t>Человеко-программы / работники. Так формулы листа «УЦ» дают ровно фактический объём доступов. Медиана — 4 программы, как в прежней оценке; в расчёт взято среднее.</t>
        </is>
      </c>
      <c r="C10" s="106">
        <f>C8/(C6*C7)</f>
        <v/>
      </c>
      <c r="D10" s="98" t="n"/>
    </row>
    <row r="11" ht="30" customHeight="1">
      <c r="A11" s="108" t="inlineStr">
        <is>
          <t>Жёлтые ячейки правятся вручную: лист «УЦ» и расчёт ниже пересчитаются. Зарплата, ставка часа, цена системы по коммерческому предложению и размер штрафа в выгрузке доступов не содержатся и оставлены как в исходном файле.</t>
        </is>
      </c>
    </row>
    <row r="12" ht="8" customHeight="1"/>
    <row r="13" ht="20" customHeight="1">
      <c r="A13" s="110" t="inlineStr">
        <is>
          <t>Параметры исходного файла, которые выгрузка доступов не заменяет</t>
        </is>
      </c>
    </row>
    <row r="14" ht="18" customHeight="1">
      <c r="A14" s="97" t="inlineStr">
        <is>
          <t>Параметр</t>
        </is>
      </c>
      <c r="B14" s="97" t="inlineStr">
        <is>
          <t>Откуда</t>
        </is>
      </c>
      <c r="C14" s="97" t="inlineStr">
        <is>
          <t>Значение</t>
        </is>
      </c>
      <c r="D14" s="98" t="n"/>
    </row>
    <row r="15" ht="20" customHeight="1">
      <c r="A15" s="112" t="inlineStr">
        <is>
          <t>Заработная плата с взносами, руб. в месяц</t>
        </is>
      </c>
      <c r="B15" s="113" t="inlineStr">
        <is>
          <t>Лист «УЦ»: 60 000 × 1,302</t>
        </is>
      </c>
      <c r="C15" s="114">
        <f>УЦ!E10</f>
        <v/>
      </c>
      <c r="D15" s="98" t="n"/>
    </row>
    <row r="16" ht="20" customHeight="1">
      <c r="A16" s="112" t="inlineStr">
        <is>
          <t>Ставка специалиста, руб. в час</t>
        </is>
      </c>
      <c r="B16" s="113" t="inlineStr">
        <is>
          <t>Месячная оплата / 22 рабочих дня / 8 часов</t>
        </is>
      </c>
      <c r="C16" s="114">
        <f>УЦ!E11</f>
        <v/>
      </c>
      <c r="D16" s="98" t="n"/>
    </row>
    <row r="17" ht="20" customHeight="1">
      <c r="A17" s="112" t="inlineStr">
        <is>
          <t>Стоимость АС «РискПроф» по КП, руб.</t>
        </is>
      </c>
      <c r="B17" s="113" t="inlineStr">
        <is>
          <t>Лист «общие показатели». Цена коммерческого предложения не менялась.</t>
        </is>
      </c>
      <c r="C17" s="114">
        <f>'общие показатели'!C13</f>
        <v/>
      </c>
      <c r="D17" s="98" t="n"/>
    </row>
    <row r="18" ht="20" customHeight="1">
      <c r="A18" s="112" t="inlineStr">
        <is>
          <t>Средний размер штрафа, руб. за один факт</t>
        </is>
      </c>
      <c r="B18" s="113" t="inlineStr">
        <is>
          <t>Лист «УЦ». Нужен только для отдельной оценки штрафов ниже.</t>
        </is>
      </c>
      <c r="C18" s="114">
        <f>УЦ!E13</f>
        <v/>
      </c>
      <c r="D18" s="98" t="n"/>
    </row>
    <row r="19" ht="8" customHeight="1"/>
    <row r="20" ht="22" customHeight="1">
      <c r="A20" s="95" t="inlineStr">
        <is>
          <t>2. Откуда взяты числа: файл «Доступы СУЭК за все время»</t>
        </is>
      </c>
    </row>
    <row r="21" ht="18" customHeight="1">
      <c r="A21" s="97" t="inlineStr">
        <is>
          <t>Показатель</t>
        </is>
      </c>
      <c r="B21" s="97" t="inlineStr">
        <is>
          <t>Комментарий</t>
        </is>
      </c>
      <c r="C21" s="97" t="inlineStr">
        <is>
          <t>Значение</t>
        </is>
      </c>
      <c r="D21" s="98" t="n"/>
    </row>
    <row r="22" ht="30" customHeight="1">
      <c r="A22" s="116" t="inlineStr">
        <is>
          <t>Период всей выгрузки</t>
        </is>
      </c>
      <c r="B22" s="117" t="inlineStr">
        <is>
          <t>От первой до последней даты создания доступа, как она записана в файле.</t>
        </is>
      </c>
      <c r="C22" s="118" t="inlineStr">
        <is>
          <t>15.09.2023 — 24.09.2026</t>
        </is>
      </c>
      <c r="D22" s="98" t="n"/>
    </row>
    <row r="23" ht="30" customHeight="1">
      <c r="A23" s="119" t="inlineStr">
        <is>
          <t>Строк в файле</t>
        </is>
      </c>
      <c r="B23" s="120" t="inlineStr">
        <is>
          <t>Каждая строка — один доступ работника к курсу.</t>
        </is>
      </c>
      <c r="C23" s="121" t="n">
        <v>64828</v>
      </c>
      <c r="D23" s="98" t="n"/>
    </row>
    <row r="24" ht="30" customHeight="1">
      <c r="A24" s="116" t="inlineStr">
        <is>
          <t>Уникальных идентификаторов доступа</t>
        </is>
      </c>
      <c r="B24" s="117" t="inlineStr">
        <is>
          <t>55 повторов одного идентификатора сняты и в истории, и в расчётном году.</t>
        </is>
      </c>
      <c r="C24" s="123" t="n">
        <v>64773</v>
      </c>
      <c r="D24" s="98" t="n"/>
    </row>
    <row r="25" ht="30" customHeight="1">
      <c r="A25" s="119" t="inlineStr">
        <is>
          <t>Работников за всё время</t>
        </is>
      </c>
      <c r="B25" s="120" t="inlineStr">
        <is>
          <t>Уникальный идентификатор пользователя. Это накопленный поток за три года, а не численность одного года.</t>
        </is>
      </c>
      <c r="C25" s="121" t="n">
        <v>15079</v>
      </c>
      <c r="D25" s="98" t="n"/>
    </row>
    <row r="26" ht="30" customHeight="1">
      <c r="A26" s="116" t="inlineStr">
        <is>
          <t>Расчётный год</t>
        </is>
      </c>
      <c r="B26" s="117" t="inlineStr">
        <is>
          <t>Последние 365 суток выгрузки. Модель на листе «общие показатели» — на 12 месяцев, поэтому три года не складываются в один.</t>
        </is>
      </c>
      <c r="C26" s="118" t="inlineStr">
        <is>
          <t>24.09.2025 09:01 — 24.09.2026 09:01</t>
        </is>
      </c>
      <c r="D26" s="98" t="n"/>
    </row>
    <row r="27" ht="30" customHeight="1">
      <c r="A27" s="119" t="inlineStr">
        <is>
          <t>Уникальных доступов за расчётный год</t>
        </is>
      </c>
      <c r="B27" s="120" t="inlineStr">
        <is>
          <t>Все типы курсов, после снятия повторов идентификатора.</t>
        </is>
      </c>
      <c r="C27" s="121" t="n">
        <v>30688</v>
      </c>
      <c r="D27" s="98" t="n"/>
    </row>
    <row r="28" ht="30" customHeight="1">
      <c r="A28" s="116" t="inlineStr">
        <is>
          <t>Работников с любым доступом за год</t>
        </is>
      </c>
      <c r="B28" s="117" t="inlineStr">
        <is>
          <t>Включая тех, у кого был только тест или билет и не было программы обучения.</t>
        </is>
      </c>
      <c r="C28" s="123" t="n">
        <v>8489</v>
      </c>
      <c r="D28" s="98" t="n"/>
    </row>
    <row r="29" ht="30" customHeight="1">
      <c r="A29" s="119" t="inlineStr">
        <is>
          <t>Исключено: тестирование</t>
        </is>
      </c>
      <c r="B29" s="120" t="inlineStr">
        <is>
          <t>Наименование начинается с «Тестирование» или «Тестовый курс», а также промежуточные тесты.</t>
        </is>
      </c>
      <c r="C29" s="121" t="n">
        <v>1066</v>
      </c>
      <c r="D29" s="98" t="n"/>
    </row>
    <row r="30" ht="30" customHeight="1">
      <c r="A30" s="116" t="inlineStr">
        <is>
          <t>Исключено: экзаменационные банки и билеты</t>
        </is>
      </c>
      <c r="B30" s="117" t="inlineStr">
        <is>
          <t>«Экзаменационные вопросы», «Вопросы для проверки знаний», билеты ПДД.</t>
        </is>
      </c>
      <c r="C30" s="123" t="n">
        <v>96</v>
      </c>
      <c r="D30" s="98" t="n"/>
    </row>
    <row r="31" ht="30" customHeight="1">
      <c r="A31" s="119" t="inlineStr">
        <is>
          <t>Исключено: курсы подготовки к проверке знаний</t>
        </is>
      </c>
      <c r="B31" s="120" t="inlineStr">
        <is>
          <t>Повторяют основную программу и в логике исходной модели не дают отдельного протокола.</t>
        </is>
      </c>
      <c r="C31" s="121" t="n">
        <v>21</v>
      </c>
      <c r="D31" s="98" t="n"/>
    </row>
    <row r="32" ht="30" customHeight="1">
      <c r="A32" s="116" t="inlineStr">
        <is>
          <t>Исключено: фрагменты тем</t>
        </is>
      </c>
      <c r="B32" s="117" t="inlineStr">
        <is>
          <t>Отдельные темы внутри программы, не самостоятельные программы.</t>
        </is>
      </c>
      <c r="C32" s="123" t="n">
        <v>3</v>
      </c>
      <c r="D32" s="98" t="n"/>
    </row>
    <row r="33" ht="30" customHeight="1">
      <c r="A33" s="124" t="inlineStr">
        <is>
          <t>Человеко-программы обучения</t>
        </is>
      </c>
      <c r="B33" s="125" t="inlineStr">
        <is>
          <t>Доступы расчётного года минус исключённые строки. Это объём назначения, уведомлений, контроля, протоколов и реестра.</t>
        </is>
      </c>
      <c r="C33" s="126">
        <f>C27-(C29+C30+C31+C32)</f>
        <v/>
      </c>
      <c r="D33" s="98" t="n"/>
    </row>
    <row r="34" ht="30" customHeight="1">
      <c r="A34" s="124" t="inlineStr">
        <is>
          <t>Работников с программой обучения</t>
        </is>
      </c>
      <c r="B34" s="125" t="inlineStr">
        <is>
          <t>Совпадает с ячейкой C6 — знаменатель среднего числа программ.</t>
        </is>
      </c>
      <c r="C34" s="126">
        <f>C6</f>
        <v/>
      </c>
      <c r="D34" s="98" t="n"/>
    </row>
    <row r="35" ht="30" customHeight="1">
      <c r="A35" s="124" t="inlineStr">
        <is>
          <t>Программ в каталоге за год</t>
        </is>
      </c>
      <c r="B35" s="125" t="inlineStr">
        <is>
          <t>Совпадает с ячейкой C9. За всё время таких наименований 107, в расчётный год назначены 83.</t>
        </is>
      </c>
      <c r="C35" s="126">
        <f>C9</f>
        <v/>
      </c>
      <c r="D35" s="98" t="n"/>
    </row>
    <row r="36" ht="30" customHeight="1">
      <c r="A36" s="116" t="inlineStr">
        <is>
          <t>Медиана программ на работника за год</t>
        </is>
      </c>
      <c r="B36" s="117" t="inlineStr">
        <is>
          <t>У половины работников не больше 4 программ. Прежняя оценка «4» совпала с медианой; объём в модели ведётся по среднему.</t>
        </is>
      </c>
      <c r="C36" s="128" t="n">
        <v>4</v>
      </c>
      <c r="D36" s="98" t="n"/>
    </row>
    <row r="37" ht="42" customHeight="1">
      <c r="A37" s="129" t="inlineStr">
        <is>
          <t>Почему не 35 000 и не вся история. 35 000 × 0,7 — экспертная численность, в выгрузке её нет. За три года в системе 15 079 работников, но из года в год почти не повторяются одни и те же люди: подготовка — годовой поток. Поток последнего года — 8 028 работников и 29 502 человеко-программы. Кабинет в файле один: «Сибирская угольная энергетическая компания». Демо-модули, практические занятия в виртуальной среде и служебные курсы в расчётном году отсутствуют (они есть только в начале выгрузки).</t>
        </is>
      </c>
    </row>
    <row r="38" ht="8" customHeight="1"/>
    <row r="39" ht="22" customHeight="1">
      <c r="A39" s="95" t="inlineStr">
        <is>
          <t>3. Экономия по функциям процесса подготовки работников</t>
        </is>
      </c>
    </row>
    <row r="40" ht="34" customHeight="1">
      <c r="A40" s="108" t="inlineStr">
        <is>
          <t>Нормативы времени — те же, что на листе «УЦ». Без системы функция выполняется на каждого работника, на каждую человеко-программу или на каждую программу каталога. С системой назначение, уведомления, контроль успеваемости и протоколы занимают 4 часа на весь объём; передача в реестр и методический контент выполняются системой. Стоимость часа — ячейка C16.</t>
        </is>
      </c>
    </row>
    <row r="41" ht="36" customHeight="1">
      <c r="A41" s="131" t="inlineStr">
        <is>
          <t>№</t>
        </is>
      </c>
      <c r="B41" s="131" t="inlineStr">
        <is>
          <t>Функция</t>
        </is>
      </c>
      <c r="C41" s="131" t="inlineStr">
        <is>
          <t>Объём, ед.</t>
        </is>
      </c>
      <c r="D41" s="131" t="inlineStr">
        <is>
          <t>Что является объёмом</t>
        </is>
      </c>
      <c r="E41" s="131" t="inlineStr">
        <is>
          <t>Норматив без АС, час/ед.</t>
        </is>
      </c>
      <c r="F41" s="131" t="inlineStr">
        <is>
          <t>Часы без АС</t>
        </is>
      </c>
      <c r="G41" s="131" t="inlineStr">
        <is>
          <t>Стоимость без АС, руб.</t>
        </is>
      </c>
      <c r="H41" s="131" t="inlineStr">
        <is>
          <t>Норматив с АС</t>
        </is>
      </c>
      <c r="I41" s="131" t="inlineStr">
        <is>
          <t>Часы с АС</t>
        </is>
      </c>
      <c r="J41" s="131" t="inlineStr">
        <is>
          <t>Стоимость с АС, руб.</t>
        </is>
      </c>
      <c r="K41" s="131" t="inlineStr">
        <is>
          <t>Экономия, руб.</t>
        </is>
      </c>
      <c r="L41" s="131" t="inlineStr">
        <is>
          <t>За счёт чего возникает экономия</t>
        </is>
      </c>
      <c r="M41" s="131" t="inlineStr">
        <is>
          <t>Как часто</t>
        </is>
      </c>
    </row>
    <row r="42" ht="46" customHeight="1">
      <c r="A42" s="132" t="inlineStr">
        <is>
          <t>1.1</t>
        </is>
      </c>
      <c r="B42" s="133" t="inlineStr">
        <is>
          <t>Внесение сведений о работниках в систему</t>
        </is>
      </c>
      <c r="C42" s="134" t="n">
        <v>1</v>
      </c>
      <c r="D42" s="120" t="inlineStr">
        <is>
          <t>Одна загрузка файла шаблона</t>
        </is>
      </c>
      <c r="E42" s="135" t="n">
        <v>0</v>
      </c>
      <c r="F42" s="136">
        <f>C42*E42</f>
        <v/>
      </c>
      <c r="G42" s="136">
        <f>F42*$C$16</f>
        <v/>
      </c>
      <c r="H42" s="135">
        <f>5/60</f>
        <v/>
      </c>
      <c r="I42" s="136">
        <f>C42*H42</f>
        <v/>
      </c>
      <c r="J42" s="136">
        <f>I42*$C$16</f>
        <v/>
      </c>
      <c r="K42" s="137">
        <f>G42-J42</f>
        <v/>
      </c>
      <c r="L42" s="138" t="inlineStr">
        <is>
          <t>Без системы этого шага нет. С системой — 5 минут на заполнение шаблона и загрузку файла.</t>
        </is>
      </c>
      <c r="M42" s="139" t="inlineStr">
        <is>
          <t>Ежегодно, только с АС</t>
        </is>
      </c>
    </row>
    <row r="43" ht="46" customHeight="1">
      <c r="A43" s="140" t="inlineStr">
        <is>
          <t>1.2</t>
        </is>
      </c>
      <c r="B43" s="141" t="inlineStr">
        <is>
          <t>Формирование матрицы обучения</t>
        </is>
      </c>
      <c r="C43" s="142">
        <f>$C$6*$C$7</f>
        <v/>
      </c>
      <c r="D43" s="117" t="inlineStr">
        <is>
          <t>Работники, подлежащие обучению</t>
        </is>
      </c>
      <c r="E43" s="143">
        <f>2/60</f>
        <v/>
      </c>
      <c r="F43" s="142">
        <f>C43*E43</f>
        <v/>
      </c>
      <c r="G43" s="142">
        <f>F43*$C$16</f>
        <v/>
      </c>
      <c r="H43" s="143">
        <f>30/3600</f>
        <v/>
      </c>
      <c r="I43" s="142">
        <f>C43*H43</f>
        <v/>
      </c>
      <c r="J43" s="142">
        <f>I43*$C$16</f>
        <v/>
      </c>
      <c r="K43" s="144">
        <f>G43-J43</f>
        <v/>
      </c>
      <c r="L43" s="145" t="inlineStr">
        <is>
          <t>Без системы 2 минуты на работника. С системой 30 секунд: часть программ назначается алгоритмом.</t>
        </is>
      </c>
      <c r="M43" s="146" t="inlineStr">
        <is>
          <t>Ежегодно</t>
        </is>
      </c>
    </row>
    <row r="44" ht="46" customHeight="1">
      <c r="A44" s="132" t="inlineStr">
        <is>
          <t>1.3</t>
        </is>
      </c>
      <c r="B44" s="133" t="inlineStr">
        <is>
          <t>Назначение учебных курсов</t>
        </is>
      </c>
      <c r="C44" s="136">
        <f>$C$8</f>
        <v/>
      </c>
      <c r="D44" s="120" t="inlineStr">
        <is>
          <t>Человеко-программы</t>
        </is>
      </c>
      <c r="E44" s="135">
        <f>1/60</f>
        <v/>
      </c>
      <c r="F44" s="136">
        <f>C44*E44</f>
        <v/>
      </c>
      <c r="G44" s="136">
        <f>F44*$C$16</f>
        <v/>
      </c>
      <c r="H44" s="135" t="n">
        <v>4</v>
      </c>
      <c r="I44" s="136">
        <f>H44</f>
        <v/>
      </c>
      <c r="J44" s="136">
        <f>I44*$C$16</f>
        <v/>
      </c>
      <c r="K44" s="137">
        <f>G44-J44</f>
        <v/>
      </c>
      <c r="L44" s="138" t="inlineStr">
        <is>
          <t>Без системы 1 минута на человеко-программу. С системой курсы назначаются автоматически, на весь объём заложено 4 часа.</t>
        </is>
      </c>
      <c r="M44" s="139" t="inlineStr">
        <is>
          <t>Ежегодно</t>
        </is>
      </c>
    </row>
    <row r="45" ht="46" customHeight="1">
      <c r="A45" s="140" t="inlineStr">
        <is>
          <t>1.4</t>
        </is>
      </c>
      <c r="B45" s="141" t="inlineStr">
        <is>
          <t>Уведомления о предстоящем обучении</t>
        </is>
      </c>
      <c r="C45" s="142">
        <f>$C$8</f>
        <v/>
      </c>
      <c r="D45" s="117" t="inlineStr">
        <is>
          <t>Человеко-программы</t>
        </is>
      </c>
      <c r="E45" s="143">
        <f>1/60</f>
        <v/>
      </c>
      <c r="F45" s="142">
        <f>C45*E45</f>
        <v/>
      </c>
      <c r="G45" s="142">
        <f>F45*$C$16</f>
        <v/>
      </c>
      <c r="H45" s="143" t="n">
        <v>4</v>
      </c>
      <c r="I45" s="142">
        <f>H45</f>
        <v/>
      </c>
      <c r="J45" s="142">
        <f>I45*$C$16</f>
        <v/>
      </c>
      <c r="K45" s="144">
        <f>G45-J45</f>
        <v/>
      </c>
      <c r="L45" s="145" t="inlineStr">
        <is>
          <t>Без системы 1 минута на человеко-программу. С системой уведомления уходят автоматически, на весь объём заложено 4 часа.</t>
        </is>
      </c>
      <c r="M45" s="146" t="inlineStr">
        <is>
          <t>Ежегодно</t>
        </is>
      </c>
    </row>
    <row r="46" ht="46" customHeight="1">
      <c r="A46" s="132" t="inlineStr">
        <is>
          <t>1.5</t>
        </is>
      </c>
      <c r="B46" s="133" t="inlineStr">
        <is>
          <t>Отслеживание успеваемости</t>
        </is>
      </c>
      <c r="C46" s="136">
        <f>$C$8</f>
        <v/>
      </c>
      <c r="D46" s="120" t="inlineStr">
        <is>
          <t>Человеко-программы</t>
        </is>
      </c>
      <c r="E46" s="135">
        <f>30/3600</f>
        <v/>
      </c>
      <c r="F46" s="136">
        <f>C46*E46</f>
        <v/>
      </c>
      <c r="G46" s="136">
        <f>F46*$C$16</f>
        <v/>
      </c>
      <c r="H46" s="135" t="n">
        <v>4</v>
      </c>
      <c r="I46" s="136">
        <f>H46</f>
        <v/>
      </c>
      <c r="J46" s="136">
        <f>I46*$C$16</f>
        <v/>
      </c>
      <c r="K46" s="137">
        <f>G46-J46</f>
        <v/>
      </c>
      <c r="L46" s="138" t="inlineStr">
        <is>
          <t>Без системы 30 секунд на человеко-программу. С системой отчёт формируется автоматически, на весь объём заложено 4 часа.</t>
        </is>
      </c>
      <c r="M46" s="139" t="inlineStr">
        <is>
          <t>Ежегодно</t>
        </is>
      </c>
    </row>
    <row r="47" ht="46" customHeight="1">
      <c r="A47" s="140" t="inlineStr">
        <is>
          <t>1.6</t>
        </is>
      </c>
      <c r="B47" s="141" t="inlineStr">
        <is>
          <t>Оформление протоколов проверки знания</t>
        </is>
      </c>
      <c r="C47" s="142">
        <f>$C$8</f>
        <v/>
      </c>
      <c r="D47" s="117" t="inlineStr">
        <is>
          <t>Человеко-программы</t>
        </is>
      </c>
      <c r="E47" s="143">
        <f>3/60</f>
        <v/>
      </c>
      <c r="F47" s="142">
        <f>C47*E47</f>
        <v/>
      </c>
      <c r="G47" s="142">
        <f>F47*$C$16</f>
        <v/>
      </c>
      <c r="H47" s="143" t="n">
        <v>4</v>
      </c>
      <c r="I47" s="142">
        <f>H47</f>
        <v/>
      </c>
      <c r="J47" s="142">
        <f>I47*$C$16</f>
        <v/>
      </c>
      <c r="K47" s="144">
        <f>G47-J47</f>
        <v/>
      </c>
      <c r="L47" s="145" t="inlineStr">
        <is>
          <t>Без системы 3 минуты на человеко-программу. С системой протокол формируется автоматически, на весь объём заложено 4 часа.</t>
        </is>
      </c>
      <c r="M47" s="146" t="inlineStr">
        <is>
          <t>Ежегодно</t>
        </is>
      </c>
    </row>
    <row r="48" ht="46" customHeight="1">
      <c r="A48" s="132" t="inlineStr">
        <is>
          <t>1.7</t>
        </is>
      </c>
      <c r="B48" s="133" t="inlineStr">
        <is>
          <t>Передача сведений в реестр и номер в протоколе</t>
        </is>
      </c>
      <c r="C48" s="136">
        <f>$C$8</f>
        <v/>
      </c>
      <c r="D48" s="120" t="inlineStr">
        <is>
          <t>Человеко-программы</t>
        </is>
      </c>
      <c r="E48" s="135">
        <f>1/60</f>
        <v/>
      </c>
      <c r="F48" s="136">
        <f>C48*E48</f>
        <v/>
      </c>
      <c r="G48" s="136">
        <f>F48*$C$16</f>
        <v/>
      </c>
      <c r="H48" s="135" t="n">
        <v>0</v>
      </c>
      <c r="I48" s="136">
        <f>C48*H48</f>
        <v/>
      </c>
      <c r="J48" s="136">
        <f>I48*$C$16</f>
        <v/>
      </c>
      <c r="K48" s="137">
        <f>G48-J48</f>
        <v/>
      </c>
      <c r="L48" s="138" t="inlineStr">
        <is>
          <t>Без системы 1 минута на человеко-программу. С системой номер реестра возвращается в протокол при его формировании.</t>
        </is>
      </c>
      <c r="M48" s="139" t="inlineStr">
        <is>
          <t>Ежегодно</t>
        </is>
      </c>
    </row>
    <row r="49" ht="24" customHeight="1">
      <c r="A49" s="147" t="inlineStr">
        <is>
          <t>1</t>
        </is>
      </c>
      <c r="B49" s="148" t="inlineStr">
        <is>
          <t>Итого администрирование процесса</t>
        </is>
      </c>
      <c r="C49" s="149" t="n"/>
      <c r="D49" s="149" t="n"/>
      <c r="E49" s="149" t="n"/>
      <c r="F49" s="150">
        <f>SUM(F42:F48)</f>
        <v/>
      </c>
      <c r="G49" s="150">
        <f>SUM(G42:G48)</f>
        <v/>
      </c>
      <c r="H49" s="149" t="n"/>
      <c r="I49" s="150">
        <f>SUM(I42:I48)</f>
        <v/>
      </c>
      <c r="J49" s="150">
        <f>SUM(J42:J48)</f>
        <v/>
      </c>
      <c r="K49" s="150">
        <f>SUM(K42:K48)</f>
        <v/>
      </c>
      <c r="L49" s="149" t="n"/>
      <c r="M49" s="149" t="n"/>
    </row>
    <row r="50" ht="20" customHeight="1">
      <c r="A50" s="151" t="inlineStr">
        <is>
          <t>2. Методическое обеспечение — отдельные функции подготовки программ, курсов и материалов проверки</t>
        </is>
      </c>
    </row>
    <row r="51" ht="46" customHeight="1">
      <c r="A51" s="140" t="inlineStr">
        <is>
          <t>2.1</t>
        </is>
      </c>
      <c r="B51" s="141" t="inlineStr">
        <is>
          <t>Разработка программ обучения</t>
        </is>
      </c>
      <c r="C51" s="142">
        <f>$C$9</f>
        <v/>
      </c>
      <c r="D51" s="117" t="inlineStr">
        <is>
          <t>Программы каталога</t>
        </is>
      </c>
      <c r="E51" s="143" t="n">
        <v>4</v>
      </c>
      <c r="F51" s="142">
        <f>C51*E51</f>
        <v/>
      </c>
      <c r="G51" s="142">
        <f>F51*$C$16</f>
        <v/>
      </c>
      <c r="H51" s="143" t="n">
        <v>0</v>
      </c>
      <c r="I51" s="142">
        <f>C51*H51</f>
        <v/>
      </c>
      <c r="J51" s="142">
        <f>I51*$C$16</f>
        <v/>
      </c>
      <c r="K51" s="144">
        <f>G51-J51</f>
        <v/>
      </c>
      <c r="L51" s="145" t="inlineStr">
        <is>
          <t>Без системы 4 часа на программу. С системой программа собирается по результатам СОУТ и оценки профессиональных рисков.</t>
        </is>
      </c>
      <c r="M51" s="153" t="inlineStr">
        <is>
          <t>Разово</t>
        </is>
      </c>
    </row>
    <row r="52" ht="46" customHeight="1">
      <c r="A52" s="132" t="inlineStr">
        <is>
          <t>2.2</t>
        </is>
      </c>
      <c r="B52" s="133" t="inlineStr">
        <is>
          <t>Актуализация программ обучения</t>
        </is>
      </c>
      <c r="C52" s="136">
        <f>$C$9</f>
        <v/>
      </c>
      <c r="D52" s="120" t="inlineStr">
        <is>
          <t>Программы каталога</t>
        </is>
      </c>
      <c r="E52" s="135" t="n">
        <v>2</v>
      </c>
      <c r="F52" s="136">
        <f>C52*E52</f>
        <v/>
      </c>
      <c r="G52" s="136">
        <f>F52*$C$16</f>
        <v/>
      </c>
      <c r="H52" s="135" t="n">
        <v>0</v>
      </c>
      <c r="I52" s="136">
        <f>C52*H52</f>
        <v/>
      </c>
      <c r="J52" s="136">
        <f>I52*$C$16</f>
        <v/>
      </c>
      <c r="K52" s="137">
        <f>G52-J52</f>
        <v/>
      </c>
      <c r="L52" s="138" t="inlineStr">
        <is>
          <t>Без системы 1 час на программу дважды в год, 1 марта и 1 сентября. С системой программы обновляются автоматически.</t>
        </is>
      </c>
      <c r="M52" s="139" t="inlineStr">
        <is>
          <t>Ежегодно</t>
        </is>
      </c>
    </row>
    <row r="53" ht="46" customHeight="1">
      <c r="A53" s="140" t="inlineStr">
        <is>
          <t>2.3</t>
        </is>
      </c>
      <c r="B53" s="141" t="inlineStr">
        <is>
          <t>Разработка учебных курсов</t>
        </is>
      </c>
      <c r="C53" s="142">
        <f>$C$9</f>
        <v/>
      </c>
      <c r="D53" s="117" t="inlineStr">
        <is>
          <t>Программы каталога</t>
        </is>
      </c>
      <c r="E53" s="143" t="n">
        <v>80</v>
      </c>
      <c r="F53" s="142">
        <f>C53*E53</f>
        <v/>
      </c>
      <c r="G53" s="142">
        <f>F53*$C$16</f>
        <v/>
      </c>
      <c r="H53" s="143" t="n">
        <v>0</v>
      </c>
      <c r="I53" s="142">
        <f>C53*H53</f>
        <v/>
      </c>
      <c r="J53" s="142">
        <f>I53*$C$16</f>
        <v/>
      </c>
      <c r="K53" s="144">
        <f>G53-J53</f>
        <v/>
      </c>
      <c r="L53" s="145" t="inlineStr">
        <is>
          <t>Без системы 80 часов на программу. С системой готовые курсы входят в состав АС.</t>
        </is>
      </c>
      <c r="M53" s="153" t="inlineStr">
        <is>
          <t>Разово</t>
        </is>
      </c>
    </row>
    <row r="54" ht="46" customHeight="1">
      <c r="A54" s="132" t="inlineStr">
        <is>
          <t>2.4</t>
        </is>
      </c>
      <c r="B54" s="133" t="inlineStr">
        <is>
          <t>Актуализация учебных курсов</t>
        </is>
      </c>
      <c r="C54" s="136">
        <f>$C$9</f>
        <v/>
      </c>
      <c r="D54" s="120" t="inlineStr">
        <is>
          <t>Программы каталога</t>
        </is>
      </c>
      <c r="E54" s="135" t="n">
        <v>32</v>
      </c>
      <c r="F54" s="136">
        <f>C54*E54</f>
        <v/>
      </c>
      <c r="G54" s="136">
        <f>F54*$C$16</f>
        <v/>
      </c>
      <c r="H54" s="135" t="n">
        <v>0</v>
      </c>
      <c r="I54" s="136">
        <f>C54*H54</f>
        <v/>
      </c>
      <c r="J54" s="136">
        <f>I54*$C$16</f>
        <v/>
      </c>
      <c r="K54" s="137">
        <f>G54-J54</f>
        <v/>
      </c>
      <c r="L54" s="138" t="inlineStr">
        <is>
          <t>Без системы 16 часов на программу дважды в год. С системой курсы актуализирует правообладатель.</t>
        </is>
      </c>
      <c r="M54" s="139" t="inlineStr">
        <is>
          <t>Ежегодно</t>
        </is>
      </c>
    </row>
    <row r="55" ht="46" customHeight="1">
      <c r="A55" s="140" t="inlineStr">
        <is>
          <t>2.5</t>
        </is>
      </c>
      <c r="B55" s="141" t="inlineStr">
        <is>
          <t>Разработка материалов для проверки знания</t>
        </is>
      </c>
      <c r="C55" s="142">
        <f>$C$9</f>
        <v/>
      </c>
      <c r="D55" s="117" t="inlineStr">
        <is>
          <t>Программы каталога</t>
        </is>
      </c>
      <c r="E55" s="143" t="n">
        <v>4</v>
      </c>
      <c r="F55" s="142">
        <f>C55*E55</f>
        <v/>
      </c>
      <c r="G55" s="142">
        <f>F55*$C$16</f>
        <v/>
      </c>
      <c r="H55" s="143" t="n">
        <v>0</v>
      </c>
      <c r="I55" s="142">
        <f>C55*H55</f>
        <v/>
      </c>
      <c r="J55" s="142">
        <f>I55*$C$16</f>
        <v/>
      </c>
      <c r="K55" s="144">
        <f>G55-J55</f>
        <v/>
      </c>
      <c r="L55" s="145" t="inlineStr">
        <is>
          <t>Без системы 4 часа на программу. С системой материалы проверки входят в состав АС.</t>
        </is>
      </c>
      <c r="M55" s="153" t="inlineStr">
        <is>
          <t>Разово</t>
        </is>
      </c>
    </row>
    <row r="56" ht="46" customHeight="1">
      <c r="A56" s="132" t="inlineStr">
        <is>
          <t>2.6</t>
        </is>
      </c>
      <c r="B56" s="133" t="inlineStr">
        <is>
          <t>Актуализация материалов для проверки знания</t>
        </is>
      </c>
      <c r="C56" s="136">
        <f>$C$9</f>
        <v/>
      </c>
      <c r="D56" s="120" t="inlineStr">
        <is>
          <t>Программы каталога</t>
        </is>
      </c>
      <c r="E56" s="135" t="n">
        <v>2</v>
      </c>
      <c r="F56" s="136">
        <f>C56*E56</f>
        <v/>
      </c>
      <c r="G56" s="136">
        <f>F56*$C$16</f>
        <v/>
      </c>
      <c r="H56" s="135" t="n">
        <v>0</v>
      </c>
      <c r="I56" s="136">
        <f>C56*H56</f>
        <v/>
      </c>
      <c r="J56" s="136">
        <f>I56*$C$16</f>
        <v/>
      </c>
      <c r="K56" s="137">
        <f>G56-J56</f>
        <v/>
      </c>
      <c r="L56" s="138" t="inlineStr">
        <is>
          <t>Без системы 1 час на программу дважды в год. С системой материалы актуализирует правообладатель.</t>
        </is>
      </c>
      <c r="M56" s="139" t="inlineStr">
        <is>
          <t>Ежегодно</t>
        </is>
      </c>
    </row>
    <row r="57" ht="24" customHeight="1">
      <c r="A57" s="154" t="inlineStr">
        <is>
          <t>2</t>
        </is>
      </c>
      <c r="B57" s="155" t="inlineStr">
        <is>
          <t>Итого отдельные функции методического обеспечения</t>
        </is>
      </c>
      <c r="C57" s="107" t="n"/>
      <c r="D57" s="107" t="n"/>
      <c r="E57" s="107" t="n"/>
      <c r="F57" s="150">
        <f>SUM(F51:F56)</f>
        <v/>
      </c>
      <c r="G57" s="150">
        <f>SUM(G51:G56)</f>
        <v/>
      </c>
      <c r="H57" s="107" t="n"/>
      <c r="I57" s="150">
        <f>SUM(I51:I56)</f>
        <v/>
      </c>
      <c r="J57" s="150">
        <f>SUM(J51:J56)</f>
        <v/>
      </c>
      <c r="K57" s="150">
        <f>SUM(K51:K56)</f>
        <v/>
      </c>
      <c r="L57" s="107" t="n"/>
      <c r="M57" s="107" t="n"/>
    </row>
    <row r="58" ht="8" customHeight="1"/>
    <row r="59" ht="22" customHeight="1">
      <c r="A59" s="95" t="inlineStr">
        <is>
          <t>4. Эффект за 12 месяцев</t>
        </is>
      </c>
      <c r="N59" s="188" t="inlineStr">
        <is>
          <t>Данные диаграммы</t>
        </is>
      </c>
    </row>
    <row r="60" ht="24" customHeight="1">
      <c r="A60" s="156" t="inlineStr">
        <is>
          <t>Экономия на администрировании процесса</t>
        </is>
      </c>
      <c r="B60" s="98" t="n"/>
      <c r="C60" s="114">
        <f>K49</f>
        <v/>
      </c>
      <c r="D60" s="98" t="n"/>
      <c r="E60" s="120" t="inlineStr">
        <is>
          <t>Раздел 1: матрица, назначение, уведомления, успеваемость, протоколы, реестр. Строка 1.1 чуть увеличивает трудозатраты — появляется загрузка файла.</t>
        </is>
      </c>
      <c r="F60" s="189" t="n"/>
      <c r="G60" s="189" t="n"/>
      <c r="H60" s="189" t="n"/>
      <c r="I60" s="189" t="n"/>
      <c r="J60" s="189" t="n"/>
      <c r="K60" s="189" t="n"/>
      <c r="L60" s="189" t="n"/>
      <c r="M60" s="98" t="n"/>
      <c r="N60" s="190" t="inlineStr">
        <is>
          <t>Администрирование</t>
        </is>
      </c>
      <c r="O60" s="191">
        <f>C60</f>
        <v/>
      </c>
    </row>
    <row r="61" ht="24" customHeight="1">
      <c r="A61" s="156" t="inlineStr">
        <is>
          <t>Экономия на выполнении отдельных функций</t>
        </is>
      </c>
      <c r="B61" s="98" t="n"/>
      <c r="C61" s="114">
        <f>K57</f>
        <v/>
      </c>
      <c r="D61" s="98" t="n"/>
      <c r="E61" s="120" t="inlineStr">
        <is>
          <t>Раздел 2: разработка и актуализация программ, курсов и материалов проверки знания.</t>
        </is>
      </c>
      <c r="F61" s="189" t="n"/>
      <c r="G61" s="189" t="n"/>
      <c r="H61" s="189" t="n"/>
      <c r="I61" s="189" t="n"/>
      <c r="J61" s="189" t="n"/>
      <c r="K61" s="189" t="n"/>
      <c r="L61" s="189" t="n"/>
      <c r="M61" s="98" t="n"/>
      <c r="N61" s="190" t="inlineStr">
        <is>
          <t>Отдельные функции</t>
        </is>
      </c>
      <c r="O61" s="191">
        <f>C61</f>
        <v/>
      </c>
    </row>
    <row r="62" ht="24" customHeight="1">
      <c r="A62" s="160" t="inlineStr">
        <is>
          <t>Итого экономия на администрировании и функциях</t>
        </is>
      </c>
      <c r="B62" s="98" t="n"/>
      <c r="C62" s="114">
        <f>C60+C61</f>
        <v/>
      </c>
      <c r="D62" s="98" t="n"/>
      <c r="E62" s="120" t="inlineStr">
        <is>
          <t>Сумма двух строк выше, до вычета стоимости системы.</t>
        </is>
      </c>
      <c r="F62" s="189" t="n"/>
      <c r="G62" s="189" t="n"/>
      <c r="H62" s="189" t="n"/>
      <c r="I62" s="189" t="n"/>
      <c r="J62" s="189" t="n"/>
      <c r="K62" s="189" t="n"/>
      <c r="L62" s="189" t="n"/>
      <c r="M62" s="98" t="n"/>
      <c r="N62" s="190" t="inlineStr">
        <is>
          <t>Стоимость системы</t>
        </is>
      </c>
      <c r="O62" s="191">
        <f>C63</f>
        <v/>
      </c>
    </row>
    <row r="63" ht="24" customHeight="1">
      <c r="A63" s="156" t="inlineStr">
        <is>
          <t>Стоимость автоматизированной системы по КП</t>
        </is>
      </c>
      <c r="B63" s="98" t="n"/>
      <c r="C63" s="114">
        <f>C17</f>
        <v/>
      </c>
      <c r="D63" s="98" t="n"/>
      <c r="E63" s="120" t="inlineStr">
        <is>
          <t>Коммерческое предложение, 4 890 000 руб. В доступах цены нет, поэтому она не пересчитывалась.</t>
        </is>
      </c>
      <c r="F63" s="189" t="n"/>
      <c r="G63" s="189" t="n"/>
      <c r="H63" s="189" t="n"/>
      <c r="I63" s="189" t="n"/>
      <c r="J63" s="189" t="n"/>
      <c r="K63" s="189" t="n"/>
      <c r="L63" s="189" t="n"/>
      <c r="M63" s="98" t="n"/>
      <c r="N63" s="190" t="inlineStr">
        <is>
          <t>Эффект за 12 месяцев</t>
        </is>
      </c>
      <c r="O63" s="191">
        <f>C64</f>
        <v/>
      </c>
    </row>
    <row r="64" ht="28" customHeight="1">
      <c r="A64" s="162" t="inlineStr">
        <is>
          <t>Эффект за 12 месяцев</t>
        </is>
      </c>
      <c r="B64" s="98" t="n"/>
      <c r="C64" s="164">
        <f>C62-C63</f>
        <v/>
      </c>
      <c r="D64" s="98" t="n"/>
      <c r="E64" s="125" t="inlineStr">
        <is>
          <t>Экономия на администрировании и функциях минус стоимость системы. Штрафы в эту сумму не входят.</t>
        </is>
      </c>
      <c r="F64" s="189" t="n"/>
      <c r="G64" s="189" t="n"/>
      <c r="H64" s="189" t="n"/>
      <c r="I64" s="189" t="n"/>
      <c r="J64" s="189" t="n"/>
      <c r="K64" s="189" t="n"/>
      <c r="L64" s="189" t="n"/>
      <c r="M64" s="98" t="n"/>
    </row>
    <row r="65" ht="24" customHeight="1">
      <c r="A65" s="156" t="inlineStr">
        <is>
          <t>Тот же эффект на 1 работника</t>
        </is>
      </c>
      <c r="B65" s="98" t="n"/>
      <c r="C65" s="114">
        <f>C64/C6</f>
        <v/>
      </c>
      <c r="D65" s="98" t="n"/>
      <c r="E65" s="120" t="inlineStr">
        <is>
          <t>Делитель — работники, которым за год назначена программа обучения.</t>
        </is>
      </c>
      <c r="F65" s="189" t="n"/>
      <c r="G65" s="189" t="n"/>
      <c r="H65" s="189" t="n"/>
      <c r="I65" s="189" t="n"/>
      <c r="J65" s="189" t="n"/>
      <c r="K65" s="189" t="n"/>
      <c r="L65" s="189" t="n"/>
      <c r="M65" s="98" t="n"/>
    </row>
    <row r="66" ht="8" customHeight="1"/>
    <row r="67" ht="22" customHeight="1">
      <c r="A67" s="167" t="inlineStr">
        <is>
          <t>Как часто повторяется экономия. В исходном файле разработка программ, курсов и материалов целиком сидит внутри 12 месяцев, хотя это разовый труд, а не ежегодный.</t>
        </is>
      </c>
    </row>
    <row r="68" ht="32" customHeight="1">
      <c r="A68" s="160" t="inlineStr">
        <is>
          <t>Ежегодно: администрирование и актуализация</t>
        </is>
      </c>
      <c r="B68" s="98" t="n"/>
      <c r="C68" s="114">
        <f>K49+K52+K54+K56</f>
        <v/>
      </c>
      <c r="D68" s="98" t="n"/>
      <c r="E68" s="120" t="inlineStr">
        <is>
          <t>Раздел 1 целиком и строки 2.2, 2.4, 2.6. Это экономия, которая повторяется каждый год при том же потоке.</t>
        </is>
      </c>
      <c r="F68" s="189" t="n"/>
      <c r="G68" s="189" t="n"/>
      <c r="H68" s="189" t="n"/>
      <c r="I68" s="189" t="n"/>
      <c r="J68" s="189" t="n"/>
      <c r="K68" s="189" t="n"/>
      <c r="L68" s="189" t="n"/>
      <c r="M68" s="98" t="n"/>
    </row>
    <row r="69" ht="32" customHeight="1">
      <c r="A69" s="160" t="inlineStr">
        <is>
          <t>Разово: разработка программ, курсов и материалов</t>
        </is>
      </c>
      <c r="B69" s="98" t="n"/>
      <c r="C69" s="114">
        <f>K51+K53+K55</f>
        <v/>
      </c>
      <c r="D69" s="98" t="n"/>
      <c r="E69" s="120" t="inlineStr">
        <is>
          <t>Строки 2.1, 2.3 и 2.5. В исходной логике они включены в эти же 12 месяцев.</t>
        </is>
      </c>
      <c r="F69" s="189" t="n"/>
      <c r="G69" s="189" t="n"/>
      <c r="H69" s="189" t="n"/>
      <c r="I69" s="189" t="n"/>
      <c r="J69" s="189" t="n"/>
      <c r="K69" s="189" t="n"/>
      <c r="L69" s="189" t="n"/>
      <c r="M69" s="98" t="n"/>
    </row>
    <row r="70" ht="32" customHeight="1">
      <c r="A70" s="169" t="inlineStr">
        <is>
          <t>Эффект только по ежегодным функциям, за вычетом стоимости системы</t>
        </is>
      </c>
      <c r="B70" s="98" t="n"/>
      <c r="C70" s="171">
        <f>C68-C63</f>
        <v/>
      </c>
      <c r="D70" s="98" t="n"/>
      <c r="E70" s="173" t="inlineStr">
        <is>
          <t>Если не засчитывать разовую разработку контента, стоимости системы годовая экономия на функциях не покрывает.</t>
        </is>
      </c>
      <c r="F70" s="189" t="n"/>
      <c r="G70" s="189" t="n"/>
      <c r="H70" s="189" t="n"/>
      <c r="I70" s="189" t="n"/>
      <c r="J70" s="189" t="n"/>
      <c r="K70" s="189" t="n"/>
      <c r="L70" s="189" t="n"/>
      <c r="M70" s="98" t="n"/>
    </row>
    <row r="71" ht="8" customHeight="1"/>
    <row r="72" ht="22" customHeight="1">
      <c r="A72" s="95" t="inlineStr">
        <is>
          <t>5. Штрафы — отдельно. В эффект от администрирования и функций они не включены.</t>
        </is>
      </c>
    </row>
    <row r="73" ht="36" customHeight="1">
      <c r="A73" s="108" t="inlineStr">
        <is>
          <t>На листе «УЦ» в названии строки указаны 63 факта, формула умножает средний штраф на 60, а комментарий описывает другое правило: недоназначение 10% человеко-программ и 100 таких случаев на одну проверку. Правило из комментария зависит от объёма, формула «× 60» — нет. Здесь принято правило из комментария. На листе «УЦ» формула «× 60» оставлена как была.</t>
        </is>
      </c>
    </row>
    <row r="74" ht="26" customHeight="1">
      <c r="A74" s="156" t="inlineStr">
        <is>
          <t>Число фактов по правилу комментария</t>
        </is>
      </c>
      <c r="B74" s="98" t="n"/>
      <c r="C74" s="175">
        <f>C8*0.1/100</f>
        <v/>
      </c>
      <c r="D74" s="98" t="n"/>
      <c r="E74" s="120" t="inlineStr">
        <is>
          <t>10% человеко-программ / 100 случаев на одну проверку.</t>
        </is>
      </c>
      <c r="F74" s="189" t="n"/>
      <c r="G74" s="189" t="n"/>
      <c r="H74" s="189" t="n"/>
      <c r="I74" s="189" t="n"/>
      <c r="J74" s="189" t="n"/>
      <c r="K74" s="189" t="n"/>
      <c r="L74" s="189" t="n"/>
      <c r="M74" s="98" t="n"/>
    </row>
    <row r="75" ht="26" customHeight="1">
      <c r="A75" s="156" t="inlineStr">
        <is>
          <t>Предотвращённые штрафы, руб.</t>
        </is>
      </c>
      <c r="B75" s="98" t="n"/>
      <c r="C75" s="114">
        <f>C74*C18</f>
        <v/>
      </c>
      <c r="D75" s="98" t="n"/>
      <c r="E75" s="120" t="inlineStr">
        <is>
          <t>Число фактов × средний штраф. С системой в исходной модели этот риск принят равным нулю.</t>
        </is>
      </c>
      <c r="F75" s="189" t="n"/>
      <c r="G75" s="189" t="n"/>
      <c r="H75" s="189" t="n"/>
      <c r="I75" s="189" t="n"/>
      <c r="J75" s="189" t="n"/>
      <c r="K75" s="189" t="n"/>
      <c r="L75" s="189" t="n"/>
      <c r="M75" s="98" t="n"/>
    </row>
    <row r="76" ht="26" customHeight="1">
      <c r="A76" s="156" t="inlineStr">
        <is>
          <t>Для сравнения: штраф по формуле листа «УЦ»</t>
        </is>
      </c>
      <c r="B76" s="98" t="n"/>
      <c r="C76" s="114">
        <f>УЦ!D35</f>
        <v/>
      </c>
      <c r="D76" s="98" t="n"/>
      <c r="E76" s="120" t="inlineStr">
        <is>
          <t>60 × средний штраф. От фактического объёма не зависит и поэтому после перезаписи исходных данных не меняется.</t>
        </is>
      </c>
      <c r="F76" s="189" t="n"/>
      <c r="G76" s="189" t="n"/>
      <c r="H76" s="189" t="n"/>
      <c r="I76" s="189" t="n"/>
      <c r="J76" s="189" t="n"/>
      <c r="K76" s="189" t="n"/>
      <c r="L76" s="189" t="n"/>
      <c r="M76" s="98" t="n"/>
    </row>
    <row r="77" ht="26" customHeight="1">
      <c r="A77" s="160" t="inlineStr">
        <is>
          <t>Эффект за 12 месяцев вместе со штрафами по комментарию</t>
        </is>
      </c>
      <c r="B77" s="98" t="n"/>
      <c r="C77" s="114">
        <f>C64+C75</f>
        <v/>
      </c>
      <c r="D77" s="98" t="n"/>
      <c r="E77" s="120" t="inlineStr">
        <is>
          <t>Строка 64 плюс предотвращённые штрафы. Это уже не экономия на функциях, а сумма с оценкой риска.</t>
        </is>
      </c>
      <c r="F77" s="189" t="n"/>
      <c r="G77" s="189" t="n"/>
      <c r="H77" s="189" t="n"/>
      <c r="I77" s="189" t="n"/>
      <c r="J77" s="189" t="n"/>
      <c r="K77" s="189" t="n"/>
      <c r="L77" s="189" t="n"/>
      <c r="M77" s="98" t="n"/>
    </row>
    <row r="78" ht="8" customHeight="1"/>
    <row r="79" ht="22" customHeight="1">
      <c r="A79" s="95" t="inlineStr">
        <is>
          <t>6. Что в исходном файле читалось неоднозначно и как принято здесь</t>
        </is>
      </c>
    </row>
    <row r="80" ht="32" customHeight="1">
      <c r="A80" s="176" t="inlineStr">
        <is>
          <t>1</t>
        </is>
      </c>
      <c r="B80" s="116" t="inlineStr">
        <is>
          <t>Численность 35 000, доля 0,7, 4 программы и 15 программ каталога были оценками. Их заменили факты расчётного года из доступов: 8 028 работников, доля 100%, среднее 3,675 программы, 83 программы каталога.</t>
        </is>
      </c>
      <c r="C80" s="189" t="n"/>
      <c r="D80" s="189" t="n"/>
      <c r="E80" s="189" t="n"/>
      <c r="F80" s="189" t="n"/>
      <c r="G80" s="189" t="n"/>
      <c r="H80" s="189" t="n"/>
      <c r="I80" s="189" t="n"/>
      <c r="J80" s="189" t="n"/>
      <c r="K80" s="189" t="n"/>
      <c r="L80" s="189" t="n"/>
      <c r="M80" s="98" t="n"/>
    </row>
    <row r="81" ht="32" customHeight="1">
      <c r="A81" s="178" t="inlineStr">
        <is>
          <t>2</t>
        </is>
      </c>
      <c r="B81" s="119" t="inlineStr">
        <is>
          <t>Эффект, на который опирается этот лист, — разница стоимости часов специалиста. Компания экономит, потому что администрирование подготовки и отдельные функции выполняются системой, а не вручную. Штраф в эту разницу не входит.</t>
        </is>
      </c>
      <c r="C81" s="189" t="n"/>
      <c r="D81" s="189" t="n"/>
      <c r="E81" s="189" t="n"/>
      <c r="F81" s="189" t="n"/>
      <c r="G81" s="189" t="n"/>
      <c r="H81" s="189" t="n"/>
      <c r="I81" s="189" t="n"/>
      <c r="J81" s="189" t="n"/>
      <c r="K81" s="189" t="n"/>
      <c r="L81" s="189" t="n"/>
      <c r="M81" s="98" t="n"/>
    </row>
    <row r="82" ht="32" customHeight="1">
      <c r="A82" s="176" t="inlineStr">
        <is>
          <t>3</t>
        </is>
      </c>
      <c r="B82" s="116" t="inlineStr">
        <is>
          <t>На листе «общие показатели» ячейка численности ссылалась на #REF!, а итог «Всего» был записан числом 38 414 063,64 и не равнялся строке «Обучение». Теперь численность берётся с листа «УЦ», а итог равен строке «Обучение».</t>
        </is>
      </c>
      <c r="C82" s="189" t="n"/>
      <c r="D82" s="189" t="n"/>
      <c r="E82" s="189" t="n"/>
      <c r="F82" s="189" t="n"/>
      <c r="G82" s="189" t="n"/>
      <c r="H82" s="189" t="n"/>
      <c r="I82" s="189" t="n"/>
      <c r="J82" s="189" t="n"/>
      <c r="K82" s="189" t="n"/>
      <c r="L82" s="189" t="n"/>
      <c r="M82" s="98" t="n"/>
    </row>
    <row r="83" ht="32" customHeight="1">
      <c r="A83" s="178" t="inlineStr">
        <is>
          <t>4</t>
        </is>
      </c>
      <c r="B83" s="119" t="inlineStr">
        <is>
          <t>Часы «с системой» в итоге листа «УЦ» не включали раздел 2. При нулевых часах раздела 2 сумма не менялась; формула дополнена, чтобы итог собирался из всех трёх разделов.</t>
        </is>
      </c>
      <c r="C83" s="189" t="n"/>
      <c r="D83" s="189" t="n"/>
      <c r="E83" s="189" t="n"/>
      <c r="F83" s="189" t="n"/>
      <c r="G83" s="189" t="n"/>
      <c r="H83" s="189" t="n"/>
      <c r="I83" s="189" t="n"/>
      <c r="J83" s="189" t="n"/>
      <c r="K83" s="189" t="n"/>
      <c r="L83" s="189" t="n"/>
      <c r="M83" s="98" t="n"/>
    </row>
    <row r="84" ht="32" customHeight="1">
      <c r="A84" s="176" t="inlineStr">
        <is>
          <t>5</t>
        </is>
      </c>
      <c r="B84" s="116" t="inlineStr">
        <is>
          <t>Каталог в 83 программы вместо 15 сильно увеличивает экономию на разработке курсов. Это разовый труд. Строка 70 показывает годовой эффект без него: при фактическом потоке он меньше стоимости системы.</t>
        </is>
      </c>
      <c r="C84" s="189" t="n"/>
      <c r="D84" s="189" t="n"/>
      <c r="E84" s="189" t="n"/>
      <c r="F84" s="189" t="n"/>
      <c r="G84" s="189" t="n"/>
      <c r="H84" s="189" t="n"/>
      <c r="I84" s="189" t="n"/>
      <c r="J84" s="189" t="n"/>
      <c r="K84" s="189" t="n"/>
      <c r="L84" s="189" t="n"/>
      <c r="M84" s="98" t="n"/>
    </row>
    <row r="85" ht="32" customHeight="1">
      <c r="A85" s="178" t="inlineStr">
        <is>
          <t>6</t>
        </is>
      </c>
      <c r="B85" s="119" t="inlineStr">
        <is>
          <t>Выгрузка покрывает контур, который уже ведётся в системе, а не плановую численность 35 000. Цена коммерческого предложения при этом оставлена прежней. Если цена относится ко всей компании, а не к этому контуру, сравнение объёма и цены занижает эффект.</t>
        </is>
      </c>
      <c r="C85" s="189" t="n"/>
      <c r="D85" s="189" t="n"/>
      <c r="E85" s="189" t="n"/>
      <c r="F85" s="189" t="n"/>
      <c r="G85" s="189" t="n"/>
      <c r="H85" s="189" t="n"/>
      <c r="I85" s="189" t="n"/>
      <c r="J85" s="189" t="n"/>
      <c r="K85" s="189" t="n"/>
      <c r="L85" s="189" t="n"/>
      <c r="M85" s="98" t="n"/>
    </row>
    <row r="86" ht="8" customHeight="1"/>
    <row r="87" ht="22" customHeight="1">
      <c r="A87" s="95" t="inlineStr">
        <is>
          <t>7. Сверка с листом «УЦ» после перезаписи исходных данных</t>
        </is>
      </c>
    </row>
    <row r="88" ht="28" customHeight="1">
      <c r="A88" s="108" t="inlineStr">
        <is>
          <t>Разделы 1 и 2 этого листа повторяют формулы листа «УЦ» на новых исходных данных. Расхождение должно быть нулевым. Штраф не сверяется: на листе «УЦ» он по-прежнему равен 60 × средний штраф, здесь он посчитан от объёма.</t>
        </is>
      </c>
    </row>
    <row r="89" ht="18" customHeight="1">
      <c r="A89" s="97" t="inlineStr">
        <is>
          <t>Показатель</t>
        </is>
      </c>
      <c r="B89" s="97" t="inlineStr">
        <is>
          <t>Этот лист</t>
        </is>
      </c>
      <c r="C89" s="97" t="inlineStr">
        <is>
          <t>Лист «УЦ»</t>
        </is>
      </c>
      <c r="D89" s="97" t="inlineStr">
        <is>
          <t>Расхождение</t>
        </is>
      </c>
    </row>
    <row r="90" ht="20" customHeight="1">
      <c r="A90" s="116" t="inlineStr">
        <is>
          <t>Часы администрирования без системы</t>
        </is>
      </c>
      <c r="B90" s="142">
        <f>F49</f>
        <v/>
      </c>
      <c r="C90" s="142">
        <f>УЦ!C25</f>
        <v/>
      </c>
      <c r="D90" s="180">
        <f>B90-C90</f>
        <v/>
      </c>
    </row>
    <row r="91" ht="20" customHeight="1">
      <c r="A91" s="119" t="inlineStr">
        <is>
          <t>Стоимость администрирования без системы, руб.</t>
        </is>
      </c>
      <c r="B91" s="136">
        <f>G49</f>
        <v/>
      </c>
      <c r="C91" s="136">
        <f>УЦ!D25</f>
        <v/>
      </c>
      <c r="D91" s="181">
        <f>B91-C91</f>
        <v/>
      </c>
    </row>
    <row r="92" ht="20" customHeight="1">
      <c r="A92" s="116" t="inlineStr">
        <is>
          <t>Часы администрирования с системой</t>
        </is>
      </c>
      <c r="B92" s="142">
        <f>I49</f>
        <v/>
      </c>
      <c r="C92" s="142">
        <f>УЦ!F25</f>
        <v/>
      </c>
      <c r="D92" s="180">
        <f>B92-C92</f>
        <v/>
      </c>
    </row>
    <row r="93" ht="20" customHeight="1">
      <c r="A93" s="119" t="inlineStr">
        <is>
          <t>Стоимость администрирования с системой, руб.</t>
        </is>
      </c>
      <c r="B93" s="136">
        <f>J49</f>
        <v/>
      </c>
      <c r="C93" s="136">
        <f>УЦ!G25</f>
        <v/>
      </c>
      <c r="D93" s="181">
        <f>B93-C93</f>
        <v/>
      </c>
    </row>
    <row r="94" ht="20" customHeight="1">
      <c r="A94" s="116" t="inlineStr">
        <is>
          <t>Часы методических функций без системы</t>
        </is>
      </c>
      <c r="B94" s="142">
        <f>F57</f>
        <v/>
      </c>
      <c r="C94" s="142">
        <f>УЦ!C33</f>
        <v/>
      </c>
      <c r="D94" s="180">
        <f>B94-C94</f>
        <v/>
      </c>
    </row>
    <row r="95" ht="20" customHeight="1">
      <c r="A95" s="119" t="inlineStr">
        <is>
          <t>Стоимость методических функций без системы, руб.</t>
        </is>
      </c>
      <c r="B95" s="136">
        <f>G57</f>
        <v/>
      </c>
      <c r="C95" s="136">
        <f>УЦ!D33</f>
        <v/>
      </c>
      <c r="D95" s="181">
        <f>B95-C95</f>
        <v/>
      </c>
    </row>
    <row r="96" ht="20" customHeight="1">
      <c r="A96" s="116" t="inlineStr">
        <is>
          <t>Часы методических функций с системой</t>
        </is>
      </c>
      <c r="B96" s="142">
        <f>I57</f>
        <v/>
      </c>
      <c r="C96" s="142">
        <f>УЦ!F33</f>
        <v/>
      </c>
      <c r="D96" s="180">
        <f>B96-C96</f>
        <v/>
      </c>
    </row>
    <row r="97" ht="20" customHeight="1">
      <c r="A97" s="119" t="inlineStr">
        <is>
          <t>Стоимость методических функций с системой, руб.</t>
        </is>
      </c>
      <c r="B97" s="136">
        <f>J57</f>
        <v/>
      </c>
      <c r="C97" s="136">
        <f>УЦ!G33</f>
        <v/>
      </c>
      <c r="D97" s="181">
        <f>B97-C97</f>
        <v/>
      </c>
    </row>
    <row r="99" ht="36" customHeight="1">
      <c r="A99" s="182" t="inlineStr">
        <is>
          <t>Листы «УПР» и «СИЗ» в файле отсутствуют: в обосновании посчитан один процесс — подготовка работников (учебный центр). Выгрузка доступов относится к этому процессу. Итог на листе «общие показатели» после пересчёта равен строке «Обучение» и включает штраф по старой формуле «× 60». Эффект без штрафа выведен на том же листе отдельной строкой и равен ячейке C64.</t>
        </is>
      </c>
    </row>
    <row r="101" ht="20" customHeight="1"/>
  </sheetData>
  <mergeCells count="90">
    <mergeCell ref="C6:D6"/>
    <mergeCell ref="C62:D62"/>
    <mergeCell ref="A64:B64"/>
    <mergeCell ref="E63:M63"/>
    <mergeCell ref="C15:D15"/>
    <mergeCell ref="A72:M72"/>
    <mergeCell ref="A70:B70"/>
    <mergeCell ref="E65:M65"/>
    <mergeCell ref="C64:D64"/>
    <mergeCell ref="E74:M74"/>
    <mergeCell ref="A13:M13"/>
    <mergeCell ref="C63:D63"/>
    <mergeCell ref="A40:M40"/>
    <mergeCell ref="B84:M84"/>
    <mergeCell ref="A74:B74"/>
    <mergeCell ref="A73:M73"/>
    <mergeCell ref="B80:M80"/>
    <mergeCell ref="A76:B76"/>
    <mergeCell ref="E75:M75"/>
    <mergeCell ref="C27:D27"/>
    <mergeCell ref="C76:D76"/>
    <mergeCell ref="C36:D36"/>
    <mergeCell ref="C17:D17"/>
    <mergeCell ref="A99:M99"/>
    <mergeCell ref="A62:B62"/>
    <mergeCell ref="A68:B68"/>
    <mergeCell ref="C28:D28"/>
    <mergeCell ref="A2:M2"/>
    <mergeCell ref="C69:D69"/>
    <mergeCell ref="C30:D30"/>
    <mergeCell ref="C5:D5"/>
    <mergeCell ref="C14:D14"/>
    <mergeCell ref="A20:M20"/>
    <mergeCell ref="B82:M82"/>
    <mergeCell ref="A61:B61"/>
    <mergeCell ref="A59:M59"/>
    <mergeCell ref="B83:M83"/>
    <mergeCell ref="A11:M11"/>
    <mergeCell ref="E76:M76"/>
    <mergeCell ref="C60:D60"/>
    <mergeCell ref="A79:M79"/>
    <mergeCell ref="A88:M88"/>
    <mergeCell ref="B85:M85"/>
    <mergeCell ref="C8:D8"/>
    <mergeCell ref="E68:M68"/>
    <mergeCell ref="A63:B63"/>
    <mergeCell ref="C18:D18"/>
    <mergeCell ref="A77:B77"/>
    <mergeCell ref="C77:D77"/>
    <mergeCell ref="C34:D34"/>
    <mergeCell ref="C68:D68"/>
    <mergeCell ref="A69:B69"/>
    <mergeCell ref="E77:M77"/>
    <mergeCell ref="C29:D29"/>
    <mergeCell ref="A65:B65"/>
    <mergeCell ref="C65:D65"/>
    <mergeCell ref="E61:M61"/>
    <mergeCell ref="A75:B75"/>
    <mergeCell ref="C75:D75"/>
    <mergeCell ref="A39:M39"/>
    <mergeCell ref="C22:D22"/>
    <mergeCell ref="E70:M70"/>
    <mergeCell ref="C31:D31"/>
    <mergeCell ref="A1:M1"/>
    <mergeCell ref="C21:D21"/>
    <mergeCell ref="C61:D61"/>
    <mergeCell ref="A87:M87"/>
    <mergeCell ref="C70:D70"/>
    <mergeCell ref="C23:D23"/>
    <mergeCell ref="C32:D32"/>
    <mergeCell ref="C7:D7"/>
    <mergeCell ref="A37:M37"/>
    <mergeCell ref="C24:D24"/>
    <mergeCell ref="A60:B60"/>
    <mergeCell ref="C33:D33"/>
    <mergeCell ref="A4:M4"/>
    <mergeCell ref="E60:M60"/>
    <mergeCell ref="C74:D74"/>
    <mergeCell ref="E69:M69"/>
    <mergeCell ref="C26:D26"/>
    <mergeCell ref="C35:D35"/>
    <mergeCell ref="C10:D10"/>
    <mergeCell ref="C16:D16"/>
    <mergeCell ref="A67:M67"/>
    <mergeCell ref="C25:D25"/>
    <mergeCell ref="C9:D9"/>
    <mergeCell ref="E62:M62"/>
    <mergeCell ref="B81:M81"/>
    <mergeCell ref="A50:M50"/>
    <mergeCell ref="E64:M64"/>
  </mergeCells>
  <pageMargins left="0.4" right="0.4" top="0.55" bottom="0.5" header="0.22" footer="0.22"/>
  <pageSetup orientation="landscape" paperSize="8" fitToHeight="0" fitToWidth="1"/>
  <headerFooter>
    <oddHeader>&amp;L&amp;"Calibri"РискПроф · Учебный центр · СУЭК</oddHeader>
    <oddFooter>&amp;LЭффект — экономия на администрировании процесса подготовки работников и на отдельных функциях&amp;RСтр. &amp;P из &amp;N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Учетная запись Майкрософт</dc:creator>
  <dcterms:created xsi:type="dcterms:W3CDTF">2025-09-19T11:03:45Z</dcterms:created>
  <dcterms:modified xsi:type="dcterms:W3CDTF">2026-10-27T21:28:02Z</dcterms:modified>
  <cp:lastModifiedBy>Алёна Титова</cp:lastModifiedBy>
</cp:coreProperties>
</file>