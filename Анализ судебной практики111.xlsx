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1" autoFilterDateGrouping="1"/>
  </bookViews>
  <sheets>
    <sheet name="Судебная практика" sheetId="1" state="visible" r:id="rId1"/>
    <sheet name="Аналитика популярности" sheetId="2" state="visible" r:id="rId2"/>
    <sheet name="Пары и противоположности" sheetId="3" state="visible" r:id="rId3"/>
    <sheet name="Пояснения к колонкам" sheetId="4" state="visible" r:id="rId4"/>
    <sheet name="Данные для графиков" sheetId="5" state="visible" r:id="rId5"/>
    <sheet name="Сводка по группам" sheetId="6" state="visible" r:id="rId6"/>
  </sheets>
  <definedNames>
    <definedName name="_xlnm._FilterDatabase" localSheetId="0" hidden="1">'Судебная практика'!$A$1:$N$28</definedName>
    <definedName name="_xlnm._FilterDatabase" localSheetId="2" hidden="1">'Пары и противоположности'!$A$1:$E$9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0">
    <font>
      <name val="Calibri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b val="1"/>
      <sz val="14"/>
    </font>
    <font>
      <name val="Calibri"/>
      <b val="1"/>
      <sz val="12"/>
    </font>
    <font>
      <name val="Calibri"/>
      <family val="2"/>
      <color theme="10"/>
      <sz val="11"/>
      <u val="single"/>
      <scheme val="minor"/>
    </font>
    <font>
      <name val="Calibri"/>
      <charset val="204"/>
      <family val="2"/>
      <b val="1"/>
      <color rgb="FF333333"/>
      <sz val="11"/>
      <scheme val="minor"/>
    </font>
    <font>
      <b val="1"/>
      <sz val="14"/>
    </font>
    <font>
      <b val="1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001F4E79"/>
      </patternFill>
    </fill>
  </fills>
  <borders count="5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2">
    <xf numFmtId="0" fontId="0" fillId="0" borderId="0"/>
    <xf numFmtId="0" fontId="5" fillId="0" borderId="0"/>
  </cellStyleXfs>
  <cellXfs count="18">
    <xf numFmtId="0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2" fillId="2" borderId="0" applyAlignment="1" pivotButton="0" quotePrefix="0" xfId="0">
      <alignment horizontal="center" wrapText="1"/>
    </xf>
    <xf numFmtId="0" fontId="0" fillId="0" borderId="3" applyAlignment="1" pivotButton="0" quotePrefix="0" xfId="0">
      <alignment vertical="top" wrapText="1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1">
      <alignment vertical="top" wrapText="1"/>
    </xf>
    <xf numFmtId="0" fontId="1" fillId="0" borderId="1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7" fillId="0" borderId="0" pivotButton="0" quotePrefix="0" xfId="0"/>
    <xf numFmtId="0" fontId="8" fillId="0" borderId="0" pivotButton="0" quotePrefix="0" xfId="0"/>
    <xf numFmtId="0" fontId="9" fillId="3" borderId="0" pivotButton="0" quotePrefix="0" xfId="0"/>
    <xf numFmtId="0" fontId="9" fillId="3" borderId="0" applyAlignment="1" pivotButton="0" quotePrefix="0" xfId="0">
      <alignment horizontal="center"/>
    </xf>
    <xf numFmtId="164" fontId="0" fillId="0" borderId="0" pivotButton="0" quotePrefix="0" xfId="0"/>
  </cellXfs>
  <cellStyles count="2">
    <cellStyle name="Обычный" xfId="0" builtinId="0"/>
    <cellStyle name="Гиперссылка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Исходы по годам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'Аналитика популярности'!C18</f>
            </strRef>
          </tx>
          <spPr>
            <a:ln>
              <a:prstDash val="solid"/>
            </a:ln>
          </spPr>
          <cat>
            <numRef>
              <f>'Аналитика популярности'!$A$19:$A$26</f>
            </numRef>
          </cat>
          <val>
            <numRef>
              <f>'Аналитика популярности'!$C$19:$C$26</f>
            </numRef>
          </val>
        </ser>
        <ser>
          <idx val="1"/>
          <order val="1"/>
          <tx>
            <strRef>
              <f>'Аналитика популярности'!D18</f>
            </strRef>
          </tx>
          <spPr>
            <a:ln>
              <a:prstDash val="solid"/>
            </a:ln>
          </spPr>
          <cat>
            <numRef>
              <f>'Аналитика популярности'!$A$19:$A$26</f>
            </numRef>
          </cat>
          <val>
            <numRef>
              <f>'Аналитика популярности'!$D$19:$D$26</f>
            </numRef>
          </val>
        </ser>
        <ser>
          <idx val="2"/>
          <order val="2"/>
          <tx>
            <strRef>
              <f>'Аналитика популярности'!E18</f>
            </strRef>
          </tx>
          <spPr>
            <a:ln>
              <a:prstDash val="solid"/>
            </a:ln>
          </spPr>
          <cat>
            <numRef>
              <f>'Аналитика популярности'!$A$19:$A$26</f>
            </numRef>
          </cat>
          <val>
            <numRef>
              <f>'Аналитика популярности'!$E$19:$E$26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Год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Кол-во дел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Доля исходов по годам, %</a:t>
            </a:r>
          </a:p>
        </rich>
      </tx>
    </title>
    <plotArea>
      <lineChart>
        <grouping val="standard"/>
        <ser>
          <idx val="0"/>
          <order val="0"/>
          <tx>
            <strRef>
              <f>'Аналитика популярности'!F18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'Аналитика популярности'!$A$19:$A$26</f>
            </numRef>
          </cat>
          <val>
            <numRef>
              <f>'Аналитика популярности'!$F$19:$F$26</f>
            </numRef>
          </val>
        </ser>
        <ser>
          <idx val="1"/>
          <order val="1"/>
          <tx>
            <strRef>
              <f>'Аналитика популярности'!G18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'Аналитика популярности'!$A$19:$A$26</f>
            </numRef>
          </cat>
          <val>
            <numRef>
              <f>'Аналитика популярности'!$G$19:$G$26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Год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По категориям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'Аналитика популярности'!B29</f>
            </strRef>
          </tx>
          <spPr>
            <a:ln>
              <a:prstDash val="solid"/>
            </a:ln>
          </spPr>
          <cat>
            <numRef>
              <f>'Аналитика популярности'!$A$30:$A$33</f>
            </numRef>
          </cat>
          <val>
            <numRef>
              <f>'Аналитика популярности'!$B$30:$B$33</f>
            </numRef>
          </val>
        </ser>
        <ser>
          <idx val="1"/>
          <order val="1"/>
          <tx>
            <strRef>
              <f>'Аналитика популярности'!C29</f>
            </strRef>
          </tx>
          <spPr>
            <a:ln>
              <a:prstDash val="solid"/>
            </a:ln>
          </spPr>
          <cat>
            <numRef>
              <f>'Аналитика популярности'!$A$30:$A$33</f>
            </numRef>
          </cat>
          <val>
            <numRef>
              <f>'Аналитика популярности'!$C$30:$C$33</f>
            </numRef>
          </val>
        </ser>
        <ser>
          <idx val="2"/>
          <order val="2"/>
          <tx>
            <strRef>
              <f>'Аналитика популярности'!D29</f>
            </strRef>
          </tx>
          <spPr>
            <a:ln>
              <a:prstDash val="solid"/>
            </a:ln>
          </spPr>
          <cat>
            <numRef>
              <f>'Аналитика популярности'!$A$30:$A$33</f>
            </numRef>
          </cat>
          <val>
            <numRef>
              <f>'Аналитика популярности'!$D$30:$D$33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По каналу ЭДО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'Аналитика популярности'!B36</f>
            </strRef>
          </tx>
          <spPr>
            <a:ln>
              <a:prstDash val="solid"/>
            </a:ln>
          </spPr>
          <cat>
            <numRef>
              <f>'Аналитика популярности'!$A$37:$A$40</f>
            </numRef>
          </cat>
          <val>
            <numRef>
              <f>'Аналитика популярности'!$B$37:$B$40</f>
            </numRef>
          </val>
        </ser>
        <ser>
          <idx val="1"/>
          <order val="1"/>
          <tx>
            <strRef>
              <f>'Аналитика популярности'!C36</f>
            </strRef>
          </tx>
          <spPr>
            <a:ln>
              <a:prstDash val="solid"/>
            </a:ln>
          </spPr>
          <cat>
            <numRef>
              <f>'Аналитика популярности'!$A$37:$A$40</f>
            </numRef>
          </cat>
          <val>
            <numRef>
              <f>'Аналитика популярности'!$C$37:$C$40</f>
            </numRef>
          </val>
        </ser>
        <ser>
          <idx val="2"/>
          <order val="2"/>
          <tx>
            <strRef>
              <f>'Аналитика популярности'!D36</f>
            </strRef>
          </tx>
          <spPr>
            <a:ln>
              <a:prstDash val="solid"/>
            </a:ln>
          </spPr>
          <cat>
            <numRef>
              <f>'Аналитика популярности'!$A$37:$A$40</f>
            </numRef>
          </cat>
          <val>
            <numRef>
              <f>'Аналитика популярности'!$D$37:$D$40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Общее распределение исходов</a:t>
            </a:r>
          </a:p>
        </rich>
      </tx>
    </title>
    <plotArea>
      <pieChart>
        <varyColors val="1"/>
        <ser>
          <idx val="0"/>
          <order val="0"/>
          <tx>
            <strRef>
              <f>'Аналитика популярности'!I51</f>
            </strRef>
          </tx>
          <spPr>
            <a:ln>
              <a:prstDash val="solid"/>
            </a:ln>
          </spPr>
          <cat>
            <numRef>
              <f>'Аналитика популярности'!$H$52:$H$54</f>
            </numRef>
          </cat>
          <val>
            <numRef>
              <f>'Аналитика популярности'!$I$52:$I$54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Правовые кластеры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'Аналитика популярности'!B43</f>
            </strRef>
          </tx>
          <spPr>
            <a:ln>
              <a:prstDash val="solid"/>
            </a:ln>
          </spPr>
          <cat>
            <numRef>
              <f>'Аналитика популярности'!$A$44:$A$49</f>
            </numRef>
          </cat>
          <val>
            <numRef>
              <f>'Аналитика популярности'!$B$44:$B$49</f>
            </numRef>
          </val>
        </ser>
        <ser>
          <idx val="1"/>
          <order val="1"/>
          <tx>
            <strRef>
              <f>'Аналитика популярности'!C43</f>
            </strRef>
          </tx>
          <spPr>
            <a:ln>
              <a:prstDash val="solid"/>
            </a:ln>
          </spPr>
          <cat>
            <numRef>
              <f>'Аналитика популярности'!$A$44:$A$49</f>
            </numRef>
          </cat>
          <val>
            <numRef>
              <f>'Аналитика популярности'!$C$44:$C$49</f>
            </numRef>
          </val>
        </ser>
        <ser>
          <idx val="2"/>
          <order val="2"/>
          <tx>
            <strRef>
              <f>'Аналитика популярности'!D43</f>
            </strRef>
          </tx>
          <spPr>
            <a:ln>
              <a:prstDash val="solid"/>
            </a:ln>
          </spPr>
          <cat>
            <numRef>
              <f>'Аналитика популярности'!$A$44:$A$49</f>
            </numRef>
          </cat>
          <val>
            <numRef>
              <f>'Аналитика популярности'!$D$44:$D$49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2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19</row>
      <rowOff>0</rowOff>
    </from>
    <ext cx="648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39</row>
      <rowOff>0</rowOff>
    </from>
    <ext cx="576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7</col>
      <colOff>0</colOff>
      <row>39</row>
      <rowOff>0</rowOff>
    </from>
    <ext cx="576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57</row>
      <rowOff>0</rowOff>
    </from>
    <ext cx="4320000" cy="360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7</col>
      <colOff>0</colOff>
      <row>57</row>
      <rowOff>0</rowOff>
    </from>
    <ext cx="5760000" cy="360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udact.ru/regular/doc/36LJvWV261bc/" TargetMode="External" Id="rId1" /><Relationship Type="http://schemas.openxmlformats.org/officeDocument/2006/relationships/hyperlink" Target="https://sudact.ru/regular/doc/hgvay2R3ynLK/" TargetMode="External" Id="rId2" /><Relationship Type="http://schemas.openxmlformats.org/officeDocument/2006/relationships/hyperlink" Target="https://www.klerk.ru/cdoc/view/b5a2e48608f7d7635e63d8c7e3f9fb98/" TargetMode="External" Id="rId3" /><Relationship Type="http://schemas.openxmlformats.org/officeDocument/2006/relationships/hyperlink" Target="https://&#1089;&#1091;&#1076;&#1077;&#1073;&#1085;&#1099;&#1077;&#1088;&#1077;&#1096;&#1077;&#1085;&#1080;&#1103;.&#1088;&#1092;/75177773" TargetMode="External" Id="rId4" /><Relationship Type="http://schemas.openxmlformats.org/officeDocument/2006/relationships/hyperlink" Target="https://6kas.sudrf.ru/modules.php?name=sud_delo&amp;srv_num=1&amp;name_op=doc&amp;number=4545812&amp;delo_id=2800001&amp;new=2800001&amp;text_number=1" TargetMode="External" Id="rId5" /><Relationship Type="http://schemas.openxmlformats.org/officeDocument/2006/relationships/hyperlink" Target="https://normativ.kontur.ru/document?moduleId=1&amp;documentId=462087" TargetMode="External" Id="rId6" /><Relationship Type="http://schemas.openxmlformats.org/officeDocument/2006/relationships/hyperlink" Target="https://base.garant.ru/336480538/" TargetMode="External" Id="rId7" /><Relationship Type="http://schemas.openxmlformats.org/officeDocument/2006/relationships/hyperlink" Target="https://sudact.ru/regular/doc/vkgE8eTfl51p/" TargetMode="External" Id="rId8" /><Relationship Type="http://schemas.openxmlformats.org/officeDocument/2006/relationships/hyperlink" Target="https://&#1089;&#1091;&#1076;&#1077;&#1073;&#1085;&#1099;&#1077;&#1088;&#1077;&#1096;&#1077;&#1085;&#1080;&#1103;.&#1088;&#1092;/84948062" TargetMode="External" Id="rId9" /><Relationship Type="http://schemas.openxmlformats.org/officeDocument/2006/relationships/hyperlink" Target="https://&#1089;&#1091;&#1076;&#1077;&#1073;&#1085;&#1099;&#1077;&#1088;&#1077;&#1096;&#1077;&#1085;&#1080;&#1103;.&#1088;&#1092;/84948062" TargetMode="External" Id="rId10" /><Relationship Type="http://schemas.openxmlformats.org/officeDocument/2006/relationships/hyperlink" Target="https://base.garant.ru/341118272/" TargetMode="External" Id="rId11" /><Relationship Type="http://schemas.openxmlformats.org/officeDocument/2006/relationships/hyperlink" Target="https://www.law.ru/npd/doc/docid/99066138/modid/98" TargetMode="External" Id="rId12" /><Relationship Type="http://schemas.openxmlformats.org/officeDocument/2006/relationships/hyperlink" Target="https://www.v2b.ru/documents/opredelenie-2-ksoyu-ot-09-10-2025-po-delu-88-23257-2025/" TargetMode="External" Id="rId13" /><Relationship Type="http://schemas.openxmlformats.org/officeDocument/2006/relationships/hyperlink" Target="https://sudact.ru/regular/doc/Ir8hunK41oom/" TargetMode="External" Id="rId14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zoomScale="60" zoomScaleNormal="60" workbookViewId="0">
      <pane ySplit="1" topLeftCell="A2" activePane="bottomLeft" state="frozen"/>
      <selection pane="bottomLeft" activeCell="N3" sqref="N1:N3"/>
    </sheetView>
  </sheetViews>
  <sheetFormatPr baseColWidth="8" defaultRowHeight="14.5"/>
  <cols>
    <col width="9.90625" customWidth="1" min="2" max="2"/>
    <col width="16.90625" customWidth="1" min="3" max="3"/>
    <col width="19.36328125" customWidth="1" min="4" max="4"/>
    <col width="13.1796875" customWidth="1" min="5" max="5"/>
    <col width="18.7265625" customWidth="1" min="6" max="6"/>
    <col width="22.08984375" customWidth="1" min="7" max="7"/>
    <col width="22.7265625" customWidth="1" min="8" max="8"/>
    <col width="19.90625" customWidth="1" min="9" max="9"/>
    <col width="17.81640625" customWidth="1" min="10" max="10"/>
    <col width="14.90625" customWidth="1" min="11" max="11"/>
    <col width="26.81640625" customWidth="1" min="12" max="12"/>
    <col width="22.90625" customWidth="1" min="13" max="13"/>
    <col width="23.6328125" customWidth="1" min="14" max="14"/>
  </cols>
  <sheetData>
    <row r="1" ht="29" customHeight="1">
      <c r="A1" s="1" t="inlineStr">
        <is>
          <t>№</t>
        </is>
      </c>
      <c r="B1" s="8" t="inlineStr">
        <is>
          <t>Год</t>
        </is>
      </c>
      <c r="C1" s="8" t="inlineStr">
        <is>
          <t>Номер дела</t>
        </is>
      </c>
      <c r="D1" s="8" t="inlineStr">
        <is>
          <t>Категория процесса</t>
        </is>
      </c>
      <c r="E1" s="8" t="inlineStr">
        <is>
          <t>Направление</t>
        </is>
      </c>
      <c r="F1" s="8" t="inlineStr">
        <is>
          <t>Предмет спора</t>
        </is>
      </c>
      <c r="G1" s="8" t="inlineStr">
        <is>
          <t>Причина спора (позиция истца)</t>
        </is>
      </c>
      <c r="H1" s="8" t="inlineStr">
        <is>
          <t>Факты и действия сторон</t>
        </is>
      </c>
      <c r="I1" s="8" t="inlineStr">
        <is>
          <t>Канал / инструмент ЭДО</t>
        </is>
      </c>
      <c r="J1" s="8" t="inlineStr">
        <is>
          <t>Решение суда</t>
        </is>
      </c>
      <c r="K1" s="8" t="inlineStr">
        <is>
          <t>Исход (на чьей стороне)</t>
        </is>
      </c>
      <c r="L1" s="8" t="inlineStr">
        <is>
          <t>Практический вывод</t>
        </is>
      </c>
      <c r="M1" s="8" t="inlineStr">
        <is>
          <t>Ссылка</t>
        </is>
      </c>
      <c r="N1" s="8" t="inlineStr">
        <is>
          <t>Группа сравнения</t>
        </is>
      </c>
    </row>
    <row r="2" ht="128.5" customHeight="1">
      <c r="A2" s="2" t="n">
        <v>1</v>
      </c>
      <c r="B2" s="7" t="n">
        <v>2014</v>
      </c>
      <c r="C2" s="7" t="inlineStr">
        <is>
          <t>16RS0049-2-1091/2014</t>
        </is>
      </c>
      <c r="D2" s="7" t="inlineStr">
        <is>
          <t>Оспаривание предписания ГИТ</t>
        </is>
      </c>
      <c r="E2" s="7" t="inlineStr">
        <is>
          <t>ЛНА</t>
        </is>
      </c>
      <c r="F2" s="7" t="inlineStr">
        <is>
          <t>Ознакомление с локальными нормативными актами</t>
        </is>
      </c>
      <c r="G2" s="7" t="inlineStr">
        <is>
          <t>ГИТ выдала предписание: знакомить работников с ЛНА только под подпись на бумаге; в трудовых договорах не указаны место работы и сроки выплаты зарплаты</t>
        </is>
      </c>
      <c r="H2" s="7" t="inlineStr">
        <is>
          <t>Банк знакомил сотрудников с ЛНА через электронный документооборот и электронную подпись, а не на бумаге</t>
        </is>
      </c>
      <c r="I2" s="7" t="inlineStr">
        <is>
          <t>Корпоративный ЭДО + ЭП</t>
        </is>
      </c>
      <c r="J2" s="7" t="inlineStr">
        <is>
          <t>Предписание ГИТ отменено: электронное ознакомление с ЛНА признано допустимым</t>
        </is>
      </c>
      <c r="K2" s="7" t="inlineStr">
        <is>
          <t>Работодатель</t>
        </is>
      </c>
      <c r="L2" s="7" t="inlineStr">
        <is>
          <t>Ознакомление с ЛНА через ЭДО может быть признано законным при соблюдении процедуры КЭДО</t>
        </is>
      </c>
      <c r="M2" s="7" t="inlineStr">
        <is>
          <t>https://actofact.ru/case-16RS0049-2-1091-2014-m-20-2014-2014-01-09-0-0/</t>
        </is>
      </c>
      <c r="N2" s="7" t="inlineStr">
        <is>
          <t>ЛНА через ЭДО → работодатель</t>
        </is>
      </c>
    </row>
    <row r="3" ht="120" customHeight="1">
      <c r="A3" s="2" t="n">
        <v>2</v>
      </c>
      <c r="B3" s="2" t="n">
        <v>2015</v>
      </c>
      <c r="C3" s="2" t="inlineStr">
        <is>
          <t>33-4968/2015 (СПб)</t>
        </is>
      </c>
      <c r="D3" s="2" t="inlineStr">
        <is>
          <t>Увольнение (дисциплинарное)</t>
        </is>
      </c>
      <c r="E3" s="2" t="inlineStr">
        <is>
          <t>КДП</t>
        </is>
      </c>
      <c r="F3" s="2" t="inlineStr">
        <is>
          <t>Увольнение за прогул; служебная записка по e-mail</t>
        </is>
      </c>
      <c r="G3" s="2" t="inlineStr">
        <is>
          <t>Оспаривание увольнения за прогул</t>
        </is>
      </c>
      <c r="H3" s="2" t="inlineStr">
        <is>
          <t>Работник по e-mail сообщил, что находится в отпуске по графику (дни за неиспользованный больничный)</t>
        </is>
      </c>
      <c r="I3" s="2" t="inlineStr">
        <is>
          <t>E-mail (до реформы КЭДО 2021)</t>
        </is>
      </c>
      <c r="J3" s="2" t="inlineStr">
        <is>
          <t>Приказ об увольнении признан недействительным; электронная служебная записка учтена</t>
        </is>
      </c>
      <c r="K3" s="2" t="inlineStr">
        <is>
          <t>Работник</t>
        </is>
      </c>
      <c r="L3" s="2" t="inlineStr">
        <is>
          <t>Даже до КЭДО суды учитывали e-mail работника при оспаривании прогула</t>
        </is>
      </c>
      <c r="M3" s="2" t="inlineStr">
        <is>
          <t>Апелляционное определение Санкт-Петербургского горсуда от 14.04.2015, дело 2-2395/2014</t>
        </is>
      </c>
      <c r="N3" s="2" t="inlineStr">
        <is>
          <t>E-mail без КЭДО → работник</t>
        </is>
      </c>
    </row>
    <row r="4" ht="106.5" customHeight="1">
      <c r="A4" s="2" t="n">
        <v>3</v>
      </c>
      <c r="B4" s="2" t="n">
        <v>2017</v>
      </c>
      <c r="C4" s="2" t="inlineStr">
        <is>
          <t>Постановление ВС РФ от 03.07.2017 № 83-АД17-2</t>
        </is>
      </c>
      <c r="D4" s="2" t="inlineStr">
        <is>
          <t>Административное (штраф ГИТ)</t>
        </is>
      </c>
      <c r="E4" s="2" t="inlineStr">
        <is>
          <t>ОТ</t>
        </is>
      </c>
      <c r="F4" s="2" t="inlineStr">
        <is>
          <t>Штраф за допуск к работе без обучения по охране труда</t>
        </is>
      </c>
      <c r="G4" s="2" t="inlineStr">
        <is>
          <t>Генеральный директор оспорил постановление ГИТ о штрафе за допуск водителя без обучения ОТ</t>
        </is>
      </c>
      <c r="H4" s="2" t="inlineStr">
        <is>
          <t>Обучение по ОТ было формальным; имелись протокол и акт о несчастном случае</t>
        </is>
      </c>
      <c r="I4" s="2" t="inlineStr">
        <is>
          <t>Не применялся (бумажный учёт обучения)</t>
        </is>
      </c>
      <c r="J4" s="2" t="inlineStr">
        <is>
          <t>Штраф подтверждён: формальное обучение не освобождает от ответственности</t>
        </is>
      </c>
      <c r="K4" s="2" t="inlineStr">
        <is>
          <t>Работодатель (штраф оставлен в силе — проигрыш компании)</t>
        </is>
      </c>
      <c r="L4" s="2" t="inlineStr">
        <is>
          <t>Формальное обучение ОТ не защищает от штрафов; нужны реальные протоколы и допуски</t>
        </is>
      </c>
      <c r="M4" s="2" t="inlineStr">
        <is>
          <t>https://legalacts.ru/sud/postanovlenie-verkhovnogo-suda-rf-ot-03072017-n-83-ad17-2/</t>
        </is>
      </c>
      <c r="N4" s="2" t="n"/>
    </row>
    <row r="5" ht="112.5" customHeight="1">
      <c r="A5" s="2" t="n">
        <v>4</v>
      </c>
      <c r="B5" s="2" t="n">
        <v>2020</v>
      </c>
      <c r="C5" s="2" t="inlineStr">
        <is>
          <t>2-130/2020 (Каменский горсуд)</t>
        </is>
      </c>
      <c r="D5" s="2" t="inlineStr">
        <is>
          <t>Увольнение</t>
        </is>
      </c>
      <c r="E5" s="2" t="inlineStr">
        <is>
          <t>КДП</t>
        </is>
      </c>
      <c r="F5" s="2" t="inlineStr">
        <is>
          <t>Увольнение по заявлению, подписанному НЭП в системе работодателя</t>
        </is>
      </c>
      <c r="G5" s="2" t="inlineStr">
        <is>
          <t>Оспаривание увольнения по собственному желанию</t>
        </is>
      </c>
      <c r="H5" s="2" t="inlineStr">
        <is>
          <t>Заявление подписано НЭП при наличии соглашения об ЭДО</t>
        </is>
      </c>
      <c r="I5" s="2" t="inlineStr">
        <is>
          <t>КЭДО + НЭП (с соглашением)</t>
        </is>
      </c>
      <c r="J5" s="2" t="inlineStr">
        <is>
          <t>Увольнение признано правомерным</t>
        </is>
      </c>
      <c r="K5" s="2" t="inlineStr">
        <is>
          <t>Работодатель</t>
        </is>
      </c>
      <c r="L5" s="2" t="inlineStr">
        <is>
          <t>Противоположный исход к делам об «ошибочном» подписании: при соглашении и добровольности — увольнение законно</t>
        </is>
      </c>
      <c r="M5" s="10" t="inlineStr">
        <is>
          <t>https://sudact.ru/regular/doc/36LJvWV261bc/</t>
        </is>
      </c>
      <c r="N5" s="2" t="inlineStr">
        <is>
          <t>КЭДО + ЭП → работодатель (пара к 79RS0003, 88-10853)</t>
        </is>
      </c>
    </row>
    <row r="6" ht="89.5" customHeight="1">
      <c r="A6" s="2" t="n">
        <v>5</v>
      </c>
      <c r="B6" s="2" t="n">
        <v>2022</v>
      </c>
      <c r="C6" s="2" t="inlineStr">
        <is>
          <t>2-17/2022 (Шабалинский райсуд)</t>
        </is>
      </c>
      <c r="D6" s="2" t="inlineStr">
        <is>
          <t>Увольнение (дисциплинарное)</t>
        </is>
      </c>
      <c r="E6" s="2" t="inlineStr">
        <is>
          <t>КДП</t>
        </is>
      </c>
      <c r="F6" s="2" t="inlineStr">
        <is>
          <t>Увольнение за прогул; требование объяснений по e-mail</t>
        </is>
      </c>
      <c r="G6" s="2" t="inlineStr">
        <is>
          <t>Прогул отрицается; процедура взыскания нарушена</t>
        </is>
      </c>
      <c r="H6" s="2" t="inlineStr">
        <is>
          <t>Уведомление об объяснениях направлено по e-mail без согласия на КЭДО</t>
        </is>
      </c>
      <c r="I6" s="2" t="inlineStr">
        <is>
          <t>E-mail без согласия</t>
        </is>
      </c>
      <c r="J6" s="2" t="inlineStr">
        <is>
          <t>Увольнение незаконно</t>
        </is>
      </c>
      <c r="K6" s="2" t="inlineStr">
        <is>
          <t>Работник</t>
        </is>
      </c>
      <c r="L6" s="2" t="inlineStr">
        <is>
          <t>Почти идентично делу sudact.ru/hgvay2R3ynLK — другой регион, тот же вывод</t>
        </is>
      </c>
      <c r="M6" s="10" t="inlineStr">
        <is>
          <t>https://sudact.ru/regular/doc/hgvay2R3ynLK/</t>
        </is>
      </c>
      <c r="N6" s="2" t="inlineStr">
        <is>
          <t>E-mail объяснения без согласия → работник</t>
        </is>
      </c>
    </row>
    <row r="7" ht="150.5" customHeight="1">
      <c r="A7" s="2" t="n">
        <v>6</v>
      </c>
      <c r="B7" s="2" t="n">
        <v>2022</v>
      </c>
      <c r="C7" s="2" t="inlineStr">
        <is>
          <t>79RS0003-2-213/2022</t>
        </is>
      </c>
      <c r="D7" s="2" t="inlineStr">
        <is>
          <t>Увольнение</t>
        </is>
      </c>
      <c r="E7" s="2" t="inlineStr">
        <is>
          <t>КДП</t>
        </is>
      </c>
      <c r="F7" s="2" t="inlineStr">
        <is>
          <t>Увольнение по заявлению, подписанному в КЭДО по ошибке</t>
        </is>
      </c>
      <c r="G7" s="2" t="inlineStr">
        <is>
          <t>Работник не подавал заявление на увольнение; подписал в КЭДО заявление об оплате больничного, полагая, что это другой документ</t>
        </is>
      </c>
      <c r="H7" s="2" t="inlineStr">
        <is>
          <t>Суд 1 инстанции отказал истцу, сославшись на юридическую силу УНЭП</t>
        </is>
      </c>
      <c r="I7" s="2" t="inlineStr">
        <is>
          <t>КЭДО + УНЭП</t>
        </is>
      </c>
      <c r="J7" s="2" t="inlineStr">
        <is>
          <t>Кассация отменила решение и направила на новое рассмотрение: работодатель не выяснил причины и не разъяснил последствия</t>
        </is>
      </c>
      <c r="K7" s="2" t="inlineStr">
        <is>
          <t>Направлено на пересмотр (в пользу работника)</t>
        </is>
      </c>
      <c r="L7" s="2" t="inlineStr">
        <is>
          <t>При увольнении через КЭДО работодатель обязан разъяснить последствия и убедиться в реальном намерении</t>
        </is>
      </c>
      <c r="M7" s="2" t="inlineStr">
        <is>
          <t>https://actofact.ru/case-79RS0003-2-213-2022-m-185-2022-2022-05-11-0-0/</t>
        </is>
      </c>
      <c r="N7" s="2" t="inlineStr">
        <is>
          <t>КЭДО/SMS ошибочное подписание</t>
        </is>
      </c>
    </row>
    <row r="8" ht="107" customHeight="1">
      <c r="A8" s="2" t="n">
        <v>7</v>
      </c>
      <c r="B8" s="2" t="n">
        <v>2022</v>
      </c>
      <c r="C8" s="2" t="inlineStr">
        <is>
          <t>88-10853/2022 (9 КСОЮ)</t>
        </is>
      </c>
      <c r="D8" s="2" t="inlineStr">
        <is>
          <t>Увольнение</t>
        </is>
      </c>
      <c r="E8" s="2" t="inlineStr">
        <is>
          <t>КДП</t>
        </is>
      </c>
      <c r="F8" s="2" t="inlineStr">
        <is>
          <t>Увольнение по ЭП на следующий день после выдачи; SMS-коды</t>
        </is>
      </c>
      <c r="G8" s="2" t="inlineStr">
        <is>
          <t>Не подавал заявление; передавал SMS-коды для оформления больничного</t>
        </is>
      </c>
      <c r="H8" s="2" t="inlineStr">
        <is>
          <t>УНЭП выдана удалённо по SMS; заявление на следующий день после приглашения в систему</t>
        </is>
      </c>
      <c r="I8" s="2" t="inlineStr">
        <is>
          <t>КЭДО + УНЭП + SMS</t>
        </is>
      </c>
      <c r="J8" s="2" t="inlineStr">
        <is>
          <t>ЭП не доказывает волеизъявление; работодатель не разъяснил последствия → восстановление</t>
        </is>
      </c>
      <c r="K8" s="2" t="inlineStr">
        <is>
          <t>Работник</t>
        </is>
      </c>
      <c r="L8" s="2" t="inlineStr">
        <is>
          <t>Пара к 79RS0003/2022: кассация жёстче — восстановление, не только пересмотр</t>
        </is>
      </c>
      <c r="M8" s="10" t="inlineStr">
        <is>
          <t>https://www.klerk.ru/cdoc/view/b5a2e48608f7d7635e63d8c7e3f9fb98/</t>
        </is>
      </c>
      <c r="N8" s="2" t="inlineStr">
        <is>
          <t>КЭДО/SMS ошибочное подписание → работник</t>
        </is>
      </c>
    </row>
    <row r="9" ht="122.5" customHeight="1">
      <c r="A9" s="2" t="n">
        <v>8</v>
      </c>
      <c r="B9" s="2" t="n">
        <v>2022</v>
      </c>
      <c r="C9" s="2" t="inlineStr">
        <is>
          <t>88-1761/2022</t>
        </is>
      </c>
      <c r="D9" s="2" t="inlineStr">
        <is>
          <t>Увольнение</t>
        </is>
      </c>
      <c r="E9" s="2" t="inlineStr">
        <is>
          <t>КДП</t>
        </is>
      </c>
      <c r="F9" s="2" t="inlineStr">
        <is>
          <t>Заявление об увольнении, подписанное через КЭДО третьим лицом</t>
        </is>
      </c>
      <c r="G9" s="2" t="inlineStr">
        <is>
          <t>Работник не инициировал увольнение; коллега получил доступ к ЛК в КЭДО и ввёл SMS-коды для подписания заявления</t>
        </is>
      </c>
      <c r="H9" s="2" t="inlineStr">
        <is>
          <t>В системе зафиксирована действующая ЭП работника; суды первой и апелляции признали волеизъявление добровольным</t>
        </is>
      </c>
      <c r="I9" s="2" t="inlineStr">
        <is>
          <t>КЭДО + УНЭП/ЭП + SMS-подтверждение</t>
        </is>
      </c>
      <c r="J9" s="2" t="inlineStr">
        <is>
          <t>Кассация направила дело на новое рассмотрение: не все обстоятельства выяснены</t>
        </is>
      </c>
      <c r="K9" s="2" t="inlineStr">
        <is>
          <t>Направлено на пересмотр</t>
        </is>
      </c>
      <c r="L9" s="2" t="inlineStr">
        <is>
          <t>Формальная ЭП недостаточна — нужно доказывать реальную волю работника; защищать SMS-коды и доступ к ЛК</t>
        </is>
      </c>
      <c r="M9" s="2" t="inlineStr">
        <is>
          <t>№ 88-1761/2022</t>
        </is>
      </c>
      <c r="N9" s="2" t="inlineStr">
        <is>
          <t>КЭДО/SMS ошибочное подписание</t>
        </is>
      </c>
    </row>
    <row r="10" ht="124" customHeight="1">
      <c r="A10" s="2" t="n">
        <v>9</v>
      </c>
      <c r="B10" s="2" t="n">
        <v>2022</v>
      </c>
      <c r="C10" s="2" t="inlineStr">
        <is>
          <t>Судебное решение (sudact.ru)</t>
        </is>
      </c>
      <c r="D10" s="2" t="inlineStr">
        <is>
          <t>Увольнение (дисциплинарное)</t>
        </is>
      </c>
      <c r="E10" s="2" t="inlineStr">
        <is>
          <t>КДП</t>
        </is>
      </c>
      <c r="F10" s="2" t="inlineStr">
        <is>
          <t>Увольнение за прогул; уведомление об объяснениях по e-mail</t>
        </is>
      </c>
      <c r="G10" s="2" t="inlineStr">
        <is>
          <t>Прогул отрицается; не затребовано письменное объяснение; не ознакомлен с приказом о взыскании; взыскание несоразмерно</t>
        </is>
      </c>
      <c r="H10" s="2" t="inlineStr">
        <is>
          <t>Уведомление о необходимости дать объяснения направлено на e-mail без согласия работника на электронный обмен</t>
        </is>
      </c>
      <c r="I10" s="2" t="inlineStr">
        <is>
          <t>E-mail (без согласия на КЭДО)</t>
        </is>
      </c>
      <c r="J10" s="2" t="inlineStr">
        <is>
          <t>Увольнение признано незаконным</t>
        </is>
      </c>
      <c r="K10" s="2" t="inlineStr">
        <is>
          <t>Работник</t>
        </is>
      </c>
      <c r="L10" s="2" t="inlineStr">
        <is>
          <t>Нельзя направлять кадровые документы по e-mail без согласия на КЭДО</t>
        </is>
      </c>
      <c r="M10" s="2" t="inlineStr">
        <is>
          <t>https://sudact.ru/regular/doc/hgvay2R3ynLK/</t>
        </is>
      </c>
      <c r="N10" s="2" t="inlineStr">
        <is>
          <t>E-mail без КЭДО → работник</t>
        </is>
      </c>
    </row>
    <row r="11" ht="113.5" customHeight="1">
      <c r="A11" s="2" t="n">
        <v>10</v>
      </c>
      <c r="B11" s="2" t="n">
        <v>2023</v>
      </c>
      <c r="C11" s="2" t="inlineStr">
        <is>
          <t>2-266/2023 (Верхнеуслонский райсуд)</t>
        </is>
      </c>
      <c r="D11" s="2" t="inlineStr">
        <is>
          <t>Увольнение (изменение условий)</t>
        </is>
      </c>
      <c r="E11" s="2" t="inlineStr">
        <is>
          <t>КДП</t>
        </is>
      </c>
      <c r="F11" s="2" t="inlineStr">
        <is>
          <t>Увольнение при отказе от новых условий труда</t>
        </is>
      </c>
      <c r="G11" s="2" t="inlineStr">
        <is>
          <t>Не отказывался письменно; электронные уведомления оспорены</t>
        </is>
      </c>
      <c r="H11" s="2" t="inlineStr">
        <is>
          <t>Соглашение о НЭП, положение об ЭДО; в КЭДО ответ «не согласен» на уведомление</t>
        </is>
      </c>
      <c r="I11" s="2" t="inlineStr">
        <is>
          <t>КЭДО + НЭП (с соглашением)</t>
        </is>
      </c>
      <c r="J11" s="2" t="inlineStr">
        <is>
          <t>Отказ в восстановлении: «не согласен» в системе = письменный отказ</t>
        </is>
      </c>
      <c r="K11" s="2" t="inlineStr">
        <is>
          <t>Работодатель</t>
        </is>
      </c>
      <c r="L11" s="2" t="inlineStr">
        <is>
          <t>Противоположно делам без КЭДО: при надлежащем оформлении электронный отказ действует</t>
        </is>
      </c>
      <c r="M11" s="10" t="inlineStr">
        <is>
          <t>https://судебныерешения.рф/75177773</t>
        </is>
      </c>
      <c r="N11" s="2" t="inlineStr">
        <is>
          <t>КЭДО с соглашением → работодатель</t>
        </is>
      </c>
    </row>
    <row r="12" ht="111" customHeight="1">
      <c r="A12" s="2" t="n">
        <v>11</v>
      </c>
      <c r="B12" s="2" t="n">
        <v>2023</v>
      </c>
      <c r="C12" s="2" t="inlineStr">
        <is>
          <t>33-4969/2023 (Татарстан)</t>
        </is>
      </c>
      <c r="D12" s="2" t="inlineStr">
        <is>
          <t>Сокращение</t>
        </is>
      </c>
      <c r="E12" s="2" t="inlineStr">
        <is>
          <t>КДП</t>
        </is>
      </c>
      <c r="F12" s="2" t="inlineStr">
        <is>
          <t>Уведомление о сокращении через 1С без ЛНА о КЭДО</t>
        </is>
      </c>
      <c r="G12" s="2" t="inlineStr">
        <is>
          <t>Сокращение оспорено; электронное уведомление не принято</t>
        </is>
      </c>
      <c r="H12" s="2" t="inlineStr">
        <is>
          <t>Уведомление через «1С:Документооборот» и e-mail; ЛНА о КЭДО не принимался</t>
        </is>
      </c>
      <c r="I12" s="2" t="inlineStr">
        <is>
          <t>1С + e-mail без ЛНА о КЭДО</t>
        </is>
      </c>
      <c r="J12" s="2" t="inlineStr">
        <is>
          <t>Восстановление: нельзя принять электронное уведомление без ЛНА по ст. 22.2 ТК РФ</t>
        </is>
      </c>
      <c r="K12" s="2" t="inlineStr">
        <is>
          <t>Работник</t>
        </is>
      </c>
      <c r="L12" s="2" t="inlineStr">
        <is>
          <t>Пара к делам без согласия: недостаточно даже корпоративной системы — нужен ЛНА</t>
        </is>
      </c>
      <c r="M12" s="2" t="inlineStr">
        <is>
          <t>Апелляционное определение ВС РТ от 10.04.2023 № 33-4969/2023, дело 2-9558/2022</t>
        </is>
      </c>
      <c r="N12" s="2" t="inlineStr">
        <is>
          <t>Нет ЛНА о КЭДО → работник</t>
        </is>
      </c>
    </row>
    <row r="13" ht="159.5" customHeight="1">
      <c r="A13" s="2" t="n">
        <v>12</v>
      </c>
      <c r="B13" s="2" t="n">
        <v>2023</v>
      </c>
      <c r="C13" s="2" t="inlineStr">
        <is>
          <t>№ 88-12460/2023</t>
        </is>
      </c>
      <c r="D13" s="2" t="inlineStr">
        <is>
          <t>Увольнение</t>
        </is>
      </c>
      <c r="E13" s="2" t="inlineStr">
        <is>
          <t>КДП</t>
        </is>
      </c>
      <c r="F13" s="2" t="inlineStr">
        <is>
          <t>Незаконность приказов при отсутствии согласия на КЭДО</t>
        </is>
      </c>
      <c r="G13" s="2" t="inlineStr">
        <is>
          <t>Нет письменного согласия на КЭДО → электронные документы не имеют юридической силы; оспорены приказы, требуется восстановление и компенсации</t>
        </is>
      </c>
      <c r="H13" s="2" t="inlineStr">
        <is>
          <t>Кадровые решения основаны на электронных документах без оформленного согласия работника</t>
        </is>
      </c>
      <c r="I13" s="2" t="inlineStr">
        <is>
          <t>КЭДО (без согласия)</t>
        </is>
      </c>
      <c r="J13" s="2" t="inlineStr">
        <is>
          <t>Часть приказов признана незаконной; взысканы средний заработок за вынужденный прогул и компенсация морального вреда</t>
        </is>
      </c>
      <c r="K13" s="2" t="inlineStr">
        <is>
          <t>Работник</t>
        </is>
      </c>
      <c r="L13" s="2" t="inlineStr">
        <is>
          <t>Без письменного согласия на КЭДО электронные кадровые документы оспариваются; при взысканиях — строго соблюдать процедуру</t>
        </is>
      </c>
      <c r="M13" s="10" t="inlineStr">
        <is>
          <t>https://6kas.sudrf.ru/modules.php?name=sud_delo&amp;srv_num=1&amp;name_op=doc&amp;number=4545812&amp;delo_id=2800001&amp;new=2800001&amp;text_number=1</t>
        </is>
      </c>
      <c r="N13" s="2" t="n"/>
    </row>
    <row r="14" ht="112" customHeight="1">
      <c r="A14" s="2" t="n">
        <v>13</v>
      </c>
      <c r="B14" s="2" t="n">
        <v>2023</v>
      </c>
      <c r="C14" s="2" t="inlineStr">
        <is>
          <t>77558582 (судебныерешения.рф)</t>
        </is>
      </c>
      <c r="D14" s="2" t="inlineStr">
        <is>
          <t>Дисциплинарное взыскание (выговор)</t>
        </is>
      </c>
      <c r="E14" s="2" t="inlineStr">
        <is>
          <t>ОТ</t>
        </is>
      </c>
      <c r="F14" s="2" t="inlineStr">
        <is>
          <t>Выговор за нарушение требований пожарной безопасности</t>
        </is>
      </c>
      <c r="G14" s="2" t="inlineStr">
        <is>
          <t>Не назначали ответственным за пожарную безопасность</t>
        </is>
      </c>
      <c r="H14" s="2" t="inlineStr">
        <is>
          <t>Приказ о назначении направлен через ЭДО; по должностной инструкции работник обязан проверять систему; статус «прочтено»</t>
        </is>
      </c>
      <c r="I14" s="2" t="inlineStr">
        <is>
          <t>Корпоративный ЭДО</t>
        </is>
      </c>
      <c r="J14" s="2" t="inlineStr">
        <is>
          <t>Выговор признан законным: статус «прочтено» = ознакомление</t>
        </is>
      </c>
      <c r="K14" s="2" t="inlineStr">
        <is>
          <t>Работодатель</t>
        </is>
      </c>
      <c r="L14" s="2" t="inlineStr">
        <is>
          <t>При закреплении в ЛНА обязанности проверять ЭДО статус прочтения признаётся ознакомлением</t>
        </is>
      </c>
      <c r="M14" s="2" t="inlineStr">
        <is>
          <t>https://судебныерешения.рф/77558582</t>
        </is>
      </c>
      <c r="N14" s="2" t="inlineStr">
        <is>
          <t>ЭДО + ЛНА обязанность → работодатель</t>
        </is>
      </c>
    </row>
    <row r="15" ht="106.5" customHeight="1">
      <c r="A15" s="2" t="n">
        <v>14</v>
      </c>
      <c r="B15" s="2" t="n">
        <v>2023</v>
      </c>
      <c r="C15" s="2" t="inlineStr">
        <is>
          <t>88-12460/2023 (6 КСОЮ)</t>
        </is>
      </c>
      <c r="D15" s="2" t="inlineStr">
        <is>
          <t>Увольнение/выговор</t>
        </is>
      </c>
      <c r="E15" s="2" t="inlineStr">
        <is>
          <t>КДП</t>
        </is>
      </c>
      <c r="F15" s="2" t="inlineStr">
        <is>
          <t>Выговор и увольнение без письменного согласия на КЭДО</t>
        </is>
      </c>
      <c r="G15" s="2" t="inlineStr">
        <is>
          <t>Нет согласия на ЭДО; объяснения запрошены электронно</t>
        </is>
      </c>
      <c r="H15" s="2" t="inlineStr">
        <is>
          <t>Факт работы через ЭДО не равен согласию на КЭДО (ч. 4 ст. 22.2 ТК РФ)</t>
        </is>
      </c>
      <c r="I15" s="2" t="inlineStr">
        <is>
          <t>ЭДО без письменного согласия</t>
        </is>
      </c>
      <c r="J15" s="2" t="inlineStr">
        <is>
          <t>Восстановление; приказы незаконны; ~302 тыс. руб. прогула</t>
        </is>
      </c>
      <c r="K15" s="2" t="inlineStr">
        <is>
          <t>Работник</t>
        </is>
      </c>
      <c r="L15" s="2" t="inlineStr">
        <is>
          <t>Ключевое дело-эталон: «работа в ЭДО ≠ согласие на КЭДО»</t>
        </is>
      </c>
      <c r="M15" s="2" t="inlineStr">
        <is>
          <t>Определение 6 КСОЮ от 15.06.2023 № 88-12460/2023, дело 2-6607/2022</t>
        </is>
      </c>
      <c r="N15" s="2" t="inlineStr">
        <is>
          <t>Нет согласия на КЭДО → работник</t>
        </is>
      </c>
    </row>
    <row r="16" ht="104" customHeight="1">
      <c r="A16" s="2" t="n">
        <v>15</v>
      </c>
      <c r="B16" s="2" t="n">
        <v>2023</v>
      </c>
      <c r="C16" s="2" t="inlineStr">
        <is>
          <t>88-20602/2023 (6 КСОЮ)</t>
        </is>
      </c>
      <c r="D16" s="2" t="inlineStr">
        <is>
          <t>Дисциплинарное взыскание</t>
        </is>
      </c>
      <c r="E16" s="2" t="inlineStr">
        <is>
          <t>КДП</t>
        </is>
      </c>
      <c r="F16" s="2" t="inlineStr">
        <is>
          <t>Оспаривание взыскания; доставка через ЭДО не доказана</t>
        </is>
      </c>
      <c r="G16" s="2" t="inlineStr">
        <is>
          <t>Не получал приказ о взыскании</t>
        </is>
      </c>
      <c r="H16" s="2" t="inlineStr">
        <is>
          <t>Работодатель не доказал доставку документа через систему ЭДО</t>
        </is>
      </c>
      <c r="I16" s="2" t="inlineStr">
        <is>
          <t>Корпоративный ЭДО</t>
        </is>
      </c>
      <c r="J16" s="2" t="inlineStr">
        <is>
          <t>Взыскание отменено</t>
        </is>
      </c>
      <c r="K16" s="2" t="inlineStr">
        <is>
          <t>Работник</t>
        </is>
      </c>
      <c r="L16" s="2" t="inlineStr">
        <is>
          <t>Пара к 2-923/2023 (ПБ): без доказанной доставки статус «прочтено» не спасает</t>
        </is>
      </c>
      <c r="M16" s="10" t="inlineStr">
        <is>
          <t>https://normativ.kontur.ru/document?moduleId=1&amp;documentId=462087</t>
        </is>
      </c>
      <c r="N16" s="2" t="inlineStr">
        <is>
          <t>ЭДО без доказанной доставки → работник</t>
        </is>
      </c>
    </row>
    <row r="17" ht="110.5" customHeight="1">
      <c r="A17" s="2" t="n">
        <v>16</v>
      </c>
      <c r="B17" s="2" t="n">
        <v>2023</v>
      </c>
      <c r="C17" s="2" t="inlineStr">
        <is>
          <t>88-8165/2023 (9 КСОЮ)</t>
        </is>
      </c>
      <c r="D17" s="2" t="inlineStr">
        <is>
          <t>Увольнение</t>
        </is>
      </c>
      <c r="E17" s="2" t="inlineStr">
        <is>
          <t>КДП</t>
        </is>
      </c>
      <c r="F17" s="2" t="inlineStr">
        <is>
          <t>Увольнение при оспаривании ознакомления с инструкциями</t>
        </is>
      </c>
      <c r="G17" s="2" t="inlineStr">
        <is>
          <t>Не знакомился с инструкциями и обязательством о неразглашении</t>
        </is>
      </c>
      <c r="H17" s="2" t="inlineStr">
        <is>
          <t>В банке внедрён стандарт ЭКДО; есть согласие на ЭДО; обязательства подписаны ЭЦП</t>
        </is>
      </c>
      <c r="I17" s="2" t="inlineStr">
        <is>
          <t>ЭКДО + ЭЦП (с согласием)</t>
        </is>
      </c>
      <c r="J17" s="2" t="inlineStr">
        <is>
          <t>Увольнение признано законным</t>
        </is>
      </c>
      <c r="K17" s="2" t="inlineStr">
        <is>
          <t>Работодатель</t>
        </is>
      </c>
      <c r="L17" s="2" t="inlineStr">
        <is>
          <t>При надлежащем КЭДО и согласии фиксация ознакомления через ЭП выдерживает судебную проверку</t>
        </is>
      </c>
      <c r="M17" s="10" t="inlineStr">
        <is>
          <t>https://base.garant.ru/336480538/</t>
        </is>
      </c>
      <c r="N17" s="2" t="inlineStr">
        <is>
          <t>КЭДО с соглашением → работодатель</t>
        </is>
      </c>
    </row>
    <row r="18" ht="167.5" customHeight="1">
      <c r="A18" s="2" t="n">
        <v>17</v>
      </c>
      <c r="B18" s="2" t="n">
        <v>2023</v>
      </c>
      <c r="C18" s="2" t="inlineStr">
        <is>
          <t>№ 2-1794/2023</t>
        </is>
      </c>
      <c r="D18" s="2" t="inlineStr">
        <is>
          <t>Увольнение</t>
        </is>
      </c>
      <c r="E18" s="2" t="inlineStr">
        <is>
          <t>КДП</t>
        </is>
      </c>
      <c r="F18" s="2" t="inlineStr">
        <is>
          <t>Использование КЭДО без согласия и уведомления работника</t>
        </is>
      </c>
      <c r="G18" s="2" t="inlineStr">
        <is>
          <t>Не давал добровольного согласия на КЭДО; не был уведомлён, что платформа — кадровая АС; знал только о другой системе</t>
        </is>
      </c>
      <c r="H18" s="2" t="inlineStr">
        <is>
          <t>Работодатель использовал кадровую платформу и ЭП без надлежащего оформления перехода на КЭДО</t>
        </is>
      </c>
      <c r="I18" s="2" t="inlineStr">
        <is>
          <t>Кадровая платформа / КЭДО</t>
        </is>
      </c>
      <c r="J18" s="2" t="inlineStr">
        <is>
          <t>Наличия КЭДО в компании недостаточно — нужно письменное согласие и уведомление о правилах; использование ЭП неправомерно</t>
        </is>
      </c>
      <c r="K18" s="2" t="inlineStr">
        <is>
          <t>Работник</t>
        </is>
      </c>
      <c r="L18" s="2" t="inlineStr">
        <is>
          <t>Обязательны письменное согласие на КЭДО и информирование о правилах до использования ЭП</t>
        </is>
      </c>
      <c r="M18" s="10" t="inlineStr">
        <is>
          <t>https://sudact.ru/regular/doc/vkgE8eTfl51p/</t>
        </is>
      </c>
      <c r="N18" s="2" t="inlineStr">
        <is>
          <t>Нет согласия на КЭДО → работник</t>
        </is>
      </c>
    </row>
    <row r="19" ht="90.5" customHeight="1">
      <c r="A19" s="2" t="n">
        <v>18</v>
      </c>
      <c r="B19" s="2" t="n">
        <v>2024</v>
      </c>
      <c r="C19" s="2" t="inlineStr">
        <is>
          <t>2-2583/2024 (Пермский райсуд)</t>
        </is>
      </c>
      <c r="D19" s="2" t="inlineStr">
        <is>
          <t>Дисциплинарное взыскание</t>
        </is>
      </c>
      <c r="E19" s="2" t="inlineStr">
        <is>
          <t>КДП</t>
        </is>
      </c>
      <c r="F19" s="2" t="inlineStr">
        <is>
          <t>Выговор через гос. систему ЭДО без согласия на КЭДО</t>
        </is>
      </c>
      <c r="G19" s="2" t="inlineStr">
        <is>
          <t>Нет согласия на КЭДО; не ознакомлен под роспись</t>
        </is>
      </c>
      <c r="H19" s="2" t="inlineStr">
        <is>
          <t>Межведомственная система ЭДО Правительства Пермского края</t>
        </is>
      </c>
      <c r="I19" s="2" t="inlineStr">
        <is>
          <t>Гос. ЭДО без согласия</t>
        </is>
      </c>
      <c r="J19" s="2" t="inlineStr">
        <is>
          <t>Взыскание незаконно</t>
        </is>
      </c>
      <c r="K19" s="2" t="inlineStr">
        <is>
          <t>Работник</t>
        </is>
      </c>
      <c r="L19" s="2" t="inlineStr">
        <is>
          <t>Дубль темы 84948062 из таблицы — публичный источник Saby/3 года КЭДО</t>
        </is>
      </c>
      <c r="M19" s="10" t="inlineStr">
        <is>
          <t>https://судебныерешения.рф/84948062</t>
        </is>
      </c>
      <c r="N19" s="2" t="inlineStr">
        <is>
          <t>Гос. ЭДО без согласия → работник</t>
        </is>
      </c>
    </row>
    <row r="20" ht="101" customHeight="1">
      <c r="A20" s="2" t="n">
        <v>19</v>
      </c>
      <c r="B20" s="2" t="n">
        <v>2024</v>
      </c>
      <c r="C20" s="2" t="inlineStr">
        <is>
          <t>2-4942/2024 (Ленинский райсуд г. Курска)</t>
        </is>
      </c>
      <c r="D20" s="2" t="inlineStr">
        <is>
          <t>Увольнение</t>
        </is>
      </c>
      <c r="E20" s="2" t="inlineStr">
        <is>
          <t>КДП</t>
        </is>
      </c>
      <c r="F20" s="2" t="inlineStr">
        <is>
          <t>Инициирование увольнения онлайн при внедрённом КЭДО</t>
        </is>
      </c>
      <c r="G20" s="2" t="inlineStr">
        <is>
          <t>Оспаривание онлайн-увольнения</t>
        </is>
      </c>
      <c r="H20" s="2" t="inlineStr">
        <is>
          <t>В компании внедрён КЭДО</t>
        </is>
      </c>
      <c r="I20" s="2" t="inlineStr">
        <is>
          <t>КЭДО</t>
        </is>
      </c>
      <c r="J20" s="2" t="inlineStr">
        <is>
          <t>Онлайн-инициирование увольнения возможно при КЭДО</t>
        </is>
      </c>
      <c r="K20" s="2" t="inlineStr">
        <is>
          <t>Работодатель</t>
        </is>
      </c>
      <c r="L20" s="2" t="inlineStr">
        <is>
          <t>При надлежащем КЭДО суды поддерживают дистанционное увольнение</t>
        </is>
      </c>
      <c r="M20" s="2" t="inlineStr">
        <is>
          <t>Решение Ленинского районного суда г. Курска от 08.10.2024 № 2-4942/2024</t>
        </is>
      </c>
      <c r="N20" s="2" t="inlineStr">
        <is>
          <t>КЭДО внедрён → работодатель</t>
        </is>
      </c>
    </row>
    <row r="21" ht="113" customHeight="1">
      <c r="A21" s="2" t="n">
        <v>20</v>
      </c>
      <c r="B21" s="2" t="n">
        <v>2024</v>
      </c>
      <c r="C21" s="11" t="inlineStr">
        <is>
          <t xml:space="preserve"> 2-2583/2024</t>
        </is>
      </c>
      <c r="D21" s="2" t="inlineStr">
        <is>
          <t>Дисциплинарное взыскание/выговор</t>
        </is>
      </c>
      <c r="E21" s="2" t="inlineStr">
        <is>
          <t>КДП</t>
        </is>
      </c>
      <c r="F21" s="2" t="inlineStr">
        <is>
          <t>Выговор через гос. систему ЭДО без согласия на КЭДО</t>
        </is>
      </c>
      <c r="G21" s="2" t="inlineStr">
        <is>
          <t>Нет письменного согласия на КЭДО; не ознакомлен с приказом под роспись; нет обязанности отслеживать систему</t>
        </is>
      </c>
      <c r="H21" s="2" t="inlineStr">
        <is>
          <t>Выговор направлен через межведомственную систему ЭДО Правительства Пермского края</t>
        </is>
      </c>
      <c r="I21" s="2" t="inlineStr">
        <is>
          <t>Гос. система ЭДО (без согласия на КЭДО)</t>
        </is>
      </c>
      <c r="J21" s="2" t="inlineStr">
        <is>
          <t>Дисциплинарное взыскание признано незаконным</t>
        </is>
      </c>
      <c r="K21" s="2" t="inlineStr">
        <is>
          <t>Работник</t>
        </is>
      </c>
      <c r="L21" s="2" t="inlineStr">
        <is>
          <t>Гос. ЭДО не заменяет согласие на КЭДО; без согласия и регламента взыскание через ЭДО незаконно</t>
        </is>
      </c>
      <c r="M21" s="10" t="inlineStr">
        <is>
          <t>https://судебныерешения.рф/84948062</t>
        </is>
      </c>
      <c r="N21" s="2" t="inlineStr">
        <is>
          <t>Нет согласия на КЭДО → работник</t>
        </is>
      </c>
    </row>
    <row r="22" ht="104.5" customHeight="1">
      <c r="A22" s="2" t="n">
        <v>21</v>
      </c>
      <c r="B22" s="2" t="n">
        <v>2024</v>
      </c>
      <c r="C22" s="2" t="inlineStr">
        <is>
          <t>88-15101/2024 (6 КСОЮ)</t>
        </is>
      </c>
      <c r="D22" s="2" t="inlineStr">
        <is>
          <t>Увольнение</t>
        </is>
      </c>
      <c r="E22" s="2" t="inlineStr">
        <is>
          <t>КДП</t>
        </is>
      </c>
      <c r="F22" s="2" t="inlineStr">
        <is>
          <t>Увольнение по e-mail; работодатель игнорировал письмо</t>
        </is>
      </c>
      <c r="G22" s="2" t="inlineStr">
        <is>
          <t>Направил заявление по e-mail; компания не приняла</t>
        </is>
      </c>
      <c r="H22" s="2" t="inlineStr">
        <is>
          <t>Ранее компания принимала от сотрудника важные документы по e-mail; КЭДО не было</t>
        </is>
      </c>
      <c r="I22" s="2" t="inlineStr">
        <is>
          <t>E-mail (прецедент обмена)</t>
        </is>
      </c>
      <c r="J22" s="2" t="inlineStr">
        <is>
          <t>Увольнение законно: факт отправки подтверждён</t>
        </is>
      </c>
      <c r="K22" s="2" t="inlineStr">
        <is>
          <t>Работодатель</t>
        </is>
      </c>
      <c r="L22" s="2" t="inlineStr">
        <is>
          <t>Вторая «победная» для работодателя ветка по e-mail — риск для тех, кто игнорирует письма</t>
        </is>
      </c>
      <c r="M22" s="2" t="inlineStr">
        <is>
          <t>Определение 6 КСОЮ от 27.06.2024 № 88-15101/2024</t>
        </is>
      </c>
      <c r="N22" s="2" t="inlineStr">
        <is>
          <t>E-mail со сложившейся практикой → работодатель</t>
        </is>
      </c>
    </row>
    <row r="23" ht="89.5" customHeight="1">
      <c r="A23" s="2" t="n">
        <v>22</v>
      </c>
      <c r="B23" s="2" t="n">
        <v>2024</v>
      </c>
      <c r="C23" s="2" t="inlineStr">
        <is>
          <t>88-7653/2024 (7 КСОЮ)</t>
        </is>
      </c>
      <c r="D23" s="2" t="inlineStr">
        <is>
          <t>Дисциплинарное взыскание</t>
        </is>
      </c>
      <c r="E23" s="2" t="inlineStr">
        <is>
          <t>КДП</t>
        </is>
      </c>
      <c r="F23" s="2" t="inlineStr">
        <is>
          <t>Взыскание за непроверку корпоративной почты</t>
        </is>
      </c>
      <c r="G23" s="2" t="inlineStr">
        <is>
          <t>Оспаривание дисциплинарного взыскания</t>
        </is>
      </c>
      <c r="H23" s="2" t="inlineStr">
        <is>
          <t>В ЛНА закреплена обязанность проверять корпоративную почту</t>
        </is>
      </c>
      <c r="I23" s="2" t="inlineStr">
        <is>
          <t>Корпоративная почта (в ЛНА)</t>
        </is>
      </c>
      <c r="J23" s="2" t="inlineStr">
        <is>
          <t>Взыскание законно</t>
        </is>
      </c>
      <c r="K23" s="2" t="inlineStr">
        <is>
          <t>Работодатель</t>
        </is>
      </c>
      <c r="L23" s="2" t="inlineStr">
        <is>
          <t>Пара к 2-923/2023: при ЛНА обязанность мониторить канал — взыскание возможно</t>
        </is>
      </c>
      <c r="M23" s="2" t="inlineStr">
        <is>
          <t>Определение 7 КСОЮ от 07.05.2024 № 88-7653/2024</t>
        </is>
      </c>
      <c r="N23" s="2" t="inlineStr">
        <is>
          <t>ЭДО/почта + обязанность в ЛНА → работодатель</t>
        </is>
      </c>
    </row>
    <row r="24" ht="91.5" customHeight="1">
      <c r="A24" s="2" t="n">
        <v>23</v>
      </c>
      <c r="B24" s="2" t="n">
        <v>2024</v>
      </c>
      <c r="C24" s="2" t="inlineStr">
        <is>
          <t>8Г-13036/2024 (6 КСОЮ)</t>
        </is>
      </c>
      <c r="D24" s="2" t="inlineStr">
        <is>
          <t>Увольнение</t>
        </is>
      </c>
      <c r="E24" s="2" t="inlineStr">
        <is>
          <t>КДП</t>
        </is>
      </c>
      <c r="F24" s="2" t="inlineStr">
        <is>
          <t>Увольнение по заявлению на e-mail БЕЗ внедрённого КЭДО</t>
        </is>
      </c>
      <c r="G24" s="2" t="inlineStr">
        <is>
          <t>Оспаривание увольнения по e-mail</t>
        </is>
      </c>
      <c r="H24" s="2" t="inlineStr">
        <is>
          <t>Сложившаяся практика приёма документов по e-mail; КЭДО формально не было</t>
        </is>
      </c>
      <c r="I24" s="2" t="inlineStr">
        <is>
          <t>E-mail (системная практика)</t>
        </is>
      </c>
      <c r="J24" s="2" t="inlineStr">
        <is>
          <t>Увольнение признано законным</t>
        </is>
      </c>
      <c r="K24" s="2" t="inlineStr">
        <is>
          <t>Работодатель</t>
        </is>
      </c>
      <c r="L24" s="2" t="inlineStr">
        <is>
          <t>ПРОТИВОПОЛОЖНО 88-9208/2026: e-mail может работать при устойчивой практике обмена</t>
        </is>
      </c>
      <c r="M24" s="10" t="inlineStr">
        <is>
          <t>https://base.garant.ru/341118272/</t>
        </is>
      </c>
      <c r="N24" s="2" t="inlineStr">
        <is>
          <t>E-mail со сложившейся практикой → работодатель</t>
        </is>
      </c>
    </row>
    <row r="25" ht="79" customHeight="1">
      <c r="A25" s="2" t="n">
        <v>24</v>
      </c>
      <c r="B25" s="2" t="n">
        <v>2025</v>
      </c>
      <c r="C25" s="2" t="inlineStr">
        <is>
          <t>88-1374/2025 (2 КСОЮ)</t>
        </is>
      </c>
      <c r="D25" s="2" t="inlineStr">
        <is>
          <t>Увольнение</t>
        </is>
      </c>
      <c r="E25" s="2" t="inlineStr">
        <is>
          <t>КДП</t>
        </is>
      </c>
      <c r="F25" s="2" t="inlineStr">
        <is>
          <t>Увольнение при надлежащем КЭДО</t>
        </is>
      </c>
      <c r="G25" s="2" t="inlineStr">
        <is>
          <t>Оспаривание увольнения</t>
        </is>
      </c>
      <c r="H25" s="2" t="inlineStr">
        <is>
          <t>Согласие на КЭДО, соглашение об ЭДО, ЛК, уведомление подписано УНЭП</t>
        </is>
      </c>
      <c r="I25" s="2" t="inlineStr">
        <is>
          <t>КЭДО + УНЭП</t>
        </is>
      </c>
      <c r="J25" s="2" t="inlineStr">
        <is>
          <t>Увольнение законно</t>
        </is>
      </c>
      <c r="K25" s="2" t="inlineStr">
        <is>
          <t>Работодатель</t>
        </is>
      </c>
      <c r="L25" s="2" t="inlineStr">
        <is>
          <t>Пара к 88-8165/2023: полный комплект КЭДО → суды на стороне работодателя</t>
        </is>
      </c>
      <c r="M25" s="10" t="inlineStr">
        <is>
          <t>https://www.law.ru/npd/doc/docid/99066138/modid/98</t>
        </is>
      </c>
      <c r="N25" s="2" t="inlineStr">
        <is>
          <t>КЭДО с соглашением → работодатель</t>
        </is>
      </c>
    </row>
    <row r="26" ht="103.5" customHeight="1">
      <c r="A26" s="2" t="n">
        <v>25</v>
      </c>
      <c r="B26" s="2" t="n">
        <v>2025</v>
      </c>
      <c r="C26" s="2" t="inlineStr">
        <is>
          <t>88-23257/2025 (2 КСОЮ, ООО «Бежко»)</t>
        </is>
      </c>
      <c r="D26" s="2" t="inlineStr">
        <is>
          <t>Увольнение</t>
        </is>
      </c>
      <c r="E26" s="2" t="inlineStr">
        <is>
          <t>КДП</t>
        </is>
      </c>
      <c r="F26" s="2" t="inlineStr">
        <is>
          <t>Увольнение по корпоративной почте на больничном</t>
        </is>
      </c>
      <c r="G26" s="2" t="inlineStr">
        <is>
          <t>Не желала увольняться; на больничном; КЭДО нет</t>
        </is>
      </c>
      <c r="H26" s="2" t="inlineStr">
        <is>
          <t>Заявление по e-mail 18.09.2023; приказ в период больничного; конфликт с руководством</t>
        </is>
      </c>
      <c r="I26" s="2" t="inlineStr">
        <is>
          <t>Корпоративная e-mail без КЭДО</t>
        </is>
      </c>
      <c r="J26" s="2" t="inlineStr">
        <is>
          <t>Увольнение незаконно; кассация оставила решения в пользу работника</t>
        </is>
      </c>
      <c r="K26" s="2" t="inlineStr">
        <is>
          <t>Работник</t>
        </is>
      </c>
      <c r="L26" s="2" t="inlineStr">
        <is>
          <t>Почти «один в один» с 88-9208/2026, но другой КСОЮ и факты (одна должность, Бежко)</t>
        </is>
      </c>
      <c r="M26" s="10" t="inlineStr">
        <is>
          <t>https://www.v2b.ru/documents/opredelenie-2-ksoyu-ot-09-10-2025-po-delu-88-23257-2025/</t>
        </is>
      </c>
      <c r="N26" s="2" t="inlineStr">
        <is>
          <t>E-mail + больничный без КЭДО → работник</t>
        </is>
      </c>
    </row>
    <row r="27" ht="147.5" customHeight="1">
      <c r="A27" s="2" t="n">
        <v>26</v>
      </c>
      <c r="B27" s="2" t="n">
        <v>2025</v>
      </c>
      <c r="C27" s="2" t="inlineStr">
        <is>
          <t>88-9208/2026 (1 КСОЮ)</t>
        </is>
      </c>
      <c r="D27" s="2" t="inlineStr">
        <is>
          <t>Увольнение</t>
        </is>
      </c>
      <c r="E27" s="2" t="inlineStr">
        <is>
          <t>КДП</t>
        </is>
      </c>
      <c r="F27" s="2" t="inlineStr">
        <is>
          <t>Увольнение по заявлениям, направленным по e-mail</t>
        </is>
      </c>
      <c r="G27" s="2" t="inlineStr">
        <is>
          <t>Два заявления об увольнении по e-mail; ушёл на больничный; оригиналы не поступали; КЭДО не внедрён; дата не согласована; заявление отозвано до приказа</t>
        </is>
      </c>
      <c r="H27" s="2" t="inlineStr">
        <is>
          <t>Работодатель уволил по e-mail без КЭДО и без соблюдения процедуры</t>
        </is>
      </c>
      <c r="I27" s="2" t="inlineStr">
        <is>
          <t>E-mail (КЭДО не внедрён)</t>
        </is>
      </c>
      <c r="J27" s="2" t="inlineStr">
        <is>
          <t>Увольнение признано незаконным</t>
        </is>
      </c>
      <c r="K27" s="2" t="inlineStr">
        <is>
          <t>Работник</t>
        </is>
      </c>
      <c r="L27" s="2" t="inlineStr">
        <is>
          <t>Без КЭДО заявление об увольнении по e-mail не принимается; нужны оригинал и соблюдение сроков</t>
        </is>
      </c>
      <c r="M27" s="2" t="inlineStr">
        <is>
          <t>https://deloprava.ru/opredelenie-1-go-ksoyu-ot-24-03-2026-n-88-9208-2026/</t>
        </is>
      </c>
      <c r="N27" s="2" t="inlineStr">
        <is>
          <t>E-mail без КЭДО → работник</t>
        </is>
      </c>
    </row>
    <row r="28" ht="115.5" customHeight="1">
      <c r="A28" s="2" t="n">
        <v>27</v>
      </c>
      <c r="B28" s="2" t="n">
        <v>2025</v>
      </c>
      <c r="C28" s="2" t="inlineStr">
        <is>
          <t>№ 2-1169/2025</t>
        </is>
      </c>
      <c r="D28" s="2" t="inlineStr">
        <is>
          <t xml:space="preserve">Увольнение </t>
        </is>
      </c>
      <c r="E28" s="2" t="inlineStr">
        <is>
          <t>КДП</t>
        </is>
      </c>
      <c r="F28" s="2" t="inlineStr">
        <is>
          <t>Оспаривание увольнения; ознакомление с должностной инструкцией</t>
        </is>
      </c>
      <c r="G28" s="2" t="inlineStr">
        <is>
          <t>Трудовой договор не вручался; с должностной инструкцией не знакомился (ни на бумаге, ни по e-mail)</t>
        </is>
      </c>
      <c r="H28" s="2" t="inlineStr">
        <is>
          <t>Ответчик представил соглашение на использование НЭП и ПЭП в ИС работодателя по ст. 22.2 ТК РФ</t>
        </is>
      </c>
      <c r="I28" s="2" t="inlineStr">
        <is>
          <t>КЭДО + НЭП/ПЭП (с соглашением)</t>
        </is>
      </c>
      <c r="J28" s="2" t="inlineStr">
        <is>
          <t>Доводы истца отклонены: соглашение на КЭДО и ЭП подтверждает ознакомление</t>
        </is>
      </c>
      <c r="K28" s="2" t="inlineStr">
        <is>
          <t>Работодатель</t>
        </is>
      </c>
      <c r="L28" s="2" t="inlineStr">
        <is>
          <t>Соглашение на НЭП/ПЭП по ст. 22.2 ТК РФ защищает работодателя при оспаривании ознакомления</t>
        </is>
      </c>
      <c r="M28" s="10" t="inlineStr">
        <is>
          <t>https://sudact.ru/regular/doc/Ir8hunK41oom/</t>
        </is>
      </c>
      <c r="N28" s="2" t="inlineStr">
        <is>
          <t>КЭДО с соглашением → работодатель</t>
        </is>
      </c>
    </row>
    <row r="29">
      <c r="A29" s="12" t="n"/>
    </row>
  </sheetData>
  <autoFilter ref="A1:N28"/>
  <hyperlinks>
    <hyperlink xmlns:r="http://schemas.openxmlformats.org/officeDocument/2006/relationships" ref="M5" r:id="rId1"/>
    <hyperlink xmlns:r="http://schemas.openxmlformats.org/officeDocument/2006/relationships" ref="M6" r:id="rId2"/>
    <hyperlink xmlns:r="http://schemas.openxmlformats.org/officeDocument/2006/relationships" ref="M8" r:id="rId3"/>
    <hyperlink xmlns:r="http://schemas.openxmlformats.org/officeDocument/2006/relationships" ref="M11" r:id="rId4"/>
    <hyperlink xmlns:r="http://schemas.openxmlformats.org/officeDocument/2006/relationships" ref="M13" r:id="rId5"/>
    <hyperlink xmlns:r="http://schemas.openxmlformats.org/officeDocument/2006/relationships" ref="M16" r:id="rId6"/>
    <hyperlink xmlns:r="http://schemas.openxmlformats.org/officeDocument/2006/relationships" ref="M17" r:id="rId7"/>
    <hyperlink xmlns:r="http://schemas.openxmlformats.org/officeDocument/2006/relationships" ref="M18" r:id="rId8"/>
    <hyperlink xmlns:r="http://schemas.openxmlformats.org/officeDocument/2006/relationships" ref="M19" r:id="rId9"/>
    <hyperlink xmlns:r="http://schemas.openxmlformats.org/officeDocument/2006/relationships" ref="M21" r:id="rId10"/>
    <hyperlink xmlns:r="http://schemas.openxmlformats.org/officeDocument/2006/relationships" ref="M24" r:id="rId11"/>
    <hyperlink xmlns:r="http://schemas.openxmlformats.org/officeDocument/2006/relationships" ref="M25" r:id="rId12"/>
    <hyperlink xmlns:r="http://schemas.openxmlformats.org/officeDocument/2006/relationships" ref="M26" r:id="rId13"/>
    <hyperlink xmlns:r="http://schemas.openxmlformats.org/officeDocument/2006/relationships" ref="M28" r:id="rId14"/>
  </hyperlinks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4"/>
  <sheetViews>
    <sheetView workbookViewId="0">
      <selection activeCell="A1" sqref="A1"/>
    </sheetView>
  </sheetViews>
  <sheetFormatPr baseColWidth="8" defaultRowHeight="15"/>
  <cols>
    <col width="45" customWidth="1" min="1" max="1"/>
    <col width="14" customWidth="1" min="2" max="2"/>
    <col width="45" customWidth="1" min="3" max="3"/>
    <col width="14" customWidth="1" min="4" max="4"/>
    <col width="22" customWidth="1" min="5" max="5"/>
    <col width="26" customWidth="1" min="6" max="6"/>
    <col width="25" customWidth="1" min="7" max="7"/>
  </cols>
  <sheetData>
    <row r="1">
      <c r="A1" s="13" t="inlineStr">
        <is>
          <t>Анализ популярности судебных решений</t>
        </is>
      </c>
    </row>
    <row r="2"/>
    <row r="3">
      <c r="A3" t="inlineStr">
        <is>
          <t>«Популярность» = как часто встречается исход внутри года/категории/канала (27 дел). Не официальная статистика судов РФ.</t>
        </is>
      </c>
    </row>
    <row r="4"/>
    <row r="5">
      <c r="A5" s="14" t="inlineStr">
        <is>
          <t>1. Сводка</t>
        </is>
      </c>
    </row>
    <row r="6">
      <c r="A6" s="15" t="inlineStr">
        <is>
          <t>Показатель</t>
        </is>
      </c>
      <c r="B6" s="15" t="inlineStr">
        <is>
          <t>Значение</t>
        </is>
      </c>
      <c r="C6" s="15" t="inlineStr">
        <is>
          <t>Комментарий</t>
        </is>
      </c>
    </row>
    <row r="7">
      <c r="A7" t="inlineStr">
        <is>
          <t>Всего дел в выборке</t>
        </is>
      </c>
      <c r="B7" t="n">
        <v>27</v>
      </c>
      <c r="C7" t="inlineStr">
        <is>
          <t>Подборка отобранных дел, не статистика Суддепа</t>
        </is>
      </c>
    </row>
    <row r="8">
      <c r="A8" t="inlineStr">
        <is>
          <t>Исход в пользу работника</t>
        </is>
      </c>
      <c r="B8" t="n">
        <v>13</v>
      </c>
      <c r="C8" t="inlineStr">
        <is>
          <t>48.1%</t>
        </is>
      </c>
    </row>
    <row r="9">
      <c r="A9" t="inlineStr">
        <is>
          <t>Исход в пользу работодателя</t>
        </is>
      </c>
      <c r="B9" t="n">
        <v>12</v>
      </c>
      <c r="C9" t="inlineStr">
        <is>
          <t>44.4%</t>
        </is>
      </c>
    </row>
    <row r="10">
      <c r="A10" t="inlineStr">
        <is>
          <t>Направлено на пересмотр</t>
        </is>
      </c>
      <c r="B10" t="n">
        <v>2</v>
      </c>
      <c r="C10" t="inlineStr">
        <is>
          <t>Кассация без финала</t>
        </is>
      </c>
    </row>
    <row r="11">
      <c r="A11" t="inlineStr">
        <is>
          <t>Пик по годам</t>
        </is>
      </c>
      <c r="B11" t="inlineStr">
        <is>
          <t>2023 — 8 дел</t>
        </is>
      </c>
      <c r="C11" t="inlineStr">
        <is>
          <t>29.6% всей выборки</t>
        </is>
      </c>
    </row>
    <row r="12">
      <c r="A12" t="inlineStr">
        <is>
          <t>Лидер категории</t>
        </is>
      </c>
      <c r="B12" t="inlineStr">
        <is>
          <t>Увольнение</t>
        </is>
      </c>
      <c r="C12" t="inlineStr">
        <is>
          <t>19 дел</t>
        </is>
      </c>
    </row>
    <row r="13">
      <c r="A13" t="inlineStr">
        <is>
          <t>E-mail / почта: за работника</t>
        </is>
      </c>
      <c r="B13" t="inlineStr">
        <is>
          <t>66.7%</t>
        </is>
      </c>
      <c r="C13" t="inlineStr">
        <is>
          <t>9 дел в выборке</t>
        </is>
      </c>
    </row>
    <row r="14">
      <c r="A14" t="inlineStr">
        <is>
          <t>КЭДО с соглашением: за работодателя</t>
        </is>
      </c>
      <c r="B14" t="inlineStr">
        <is>
          <t>100.0%</t>
        </is>
      </c>
      <c r="C14" t="inlineStr">
        <is>
          <t>4 дел в кластере</t>
        </is>
      </c>
    </row>
    <row r="15"/>
    <row r="16"/>
    <row r="17">
      <c r="A17" s="14" t="inlineStr">
        <is>
          <t>2. Динамика по годам</t>
        </is>
      </c>
    </row>
    <row r="18">
      <c r="A18" s="16" t="inlineStr">
        <is>
          <t>Год</t>
        </is>
      </c>
      <c r="B18" s="16" t="inlineStr">
        <is>
          <t>Всего дел</t>
        </is>
      </c>
      <c r="C18" s="16" t="inlineStr">
        <is>
          <t>Работник</t>
        </is>
      </c>
      <c r="D18" s="16" t="inlineStr">
        <is>
          <t>Работодатель</t>
        </is>
      </c>
      <c r="E18" s="16" t="inlineStr">
        <is>
          <t>Пересмотр</t>
        </is>
      </c>
      <c r="F18" s="16" t="inlineStr">
        <is>
          <t>% в пользу работника</t>
        </is>
      </c>
      <c r="G18" s="16" t="inlineStr">
        <is>
          <t>% в пользу работодателя</t>
        </is>
      </c>
    </row>
    <row r="19">
      <c r="A19" t="inlineStr">
        <is>
          <t>2014</t>
        </is>
      </c>
      <c r="B19" t="n">
        <v>1</v>
      </c>
      <c r="C19" t="n">
        <v>0</v>
      </c>
      <c r="D19" t="n">
        <v>1</v>
      </c>
      <c r="E19" t="n">
        <v>0</v>
      </c>
      <c r="F19" s="17" t="n">
        <v>0</v>
      </c>
      <c r="G19" s="17" t="n">
        <v>100</v>
      </c>
    </row>
    <row r="20">
      <c r="A20" t="inlineStr">
        <is>
          <t>2015</t>
        </is>
      </c>
      <c r="B20" t="n">
        <v>1</v>
      </c>
      <c r="C20" t="n">
        <v>1</v>
      </c>
      <c r="D20" t="n">
        <v>0</v>
      </c>
      <c r="E20" t="n">
        <v>0</v>
      </c>
      <c r="F20" s="17" t="n">
        <v>100</v>
      </c>
      <c r="G20" s="17" t="n">
        <v>0</v>
      </c>
    </row>
    <row r="21">
      <c r="A21" t="inlineStr">
        <is>
          <t>2017</t>
        </is>
      </c>
      <c r="B21" t="n">
        <v>1</v>
      </c>
      <c r="C21" t="n">
        <v>0</v>
      </c>
      <c r="D21" t="n">
        <v>1</v>
      </c>
      <c r="E21" t="n">
        <v>0</v>
      </c>
      <c r="F21" s="17" t="n">
        <v>0</v>
      </c>
      <c r="G21" s="17" t="n">
        <v>100</v>
      </c>
    </row>
    <row r="22">
      <c r="A22" t="inlineStr">
        <is>
          <t>2020</t>
        </is>
      </c>
      <c r="B22" t="n">
        <v>1</v>
      </c>
      <c r="C22" t="n">
        <v>0</v>
      </c>
      <c r="D22" t="n">
        <v>1</v>
      </c>
      <c r="E22" t="n">
        <v>0</v>
      </c>
      <c r="F22" s="17" t="n">
        <v>0</v>
      </c>
      <c r="G22" s="17" t="n">
        <v>100</v>
      </c>
    </row>
    <row r="23">
      <c r="A23" t="inlineStr">
        <is>
          <t>2022</t>
        </is>
      </c>
      <c r="B23" t="n">
        <v>5</v>
      </c>
      <c r="C23" t="n">
        <v>3</v>
      </c>
      <c r="D23" t="n">
        <v>0</v>
      </c>
      <c r="E23" t="n">
        <v>2</v>
      </c>
      <c r="F23" s="17" t="n">
        <v>60</v>
      </c>
      <c r="G23" s="17" t="n">
        <v>0</v>
      </c>
    </row>
    <row r="24">
      <c r="A24" t="inlineStr">
        <is>
          <t>2023</t>
        </is>
      </c>
      <c r="B24" t="n">
        <v>8</v>
      </c>
      <c r="C24" t="n">
        <v>5</v>
      </c>
      <c r="D24" t="n">
        <v>3</v>
      </c>
      <c r="E24" t="n">
        <v>0</v>
      </c>
      <c r="F24" s="17" t="n">
        <v>62.5</v>
      </c>
      <c r="G24" s="17" t="n">
        <v>37.5</v>
      </c>
    </row>
    <row r="25">
      <c r="A25" t="inlineStr">
        <is>
          <t>2024</t>
        </is>
      </c>
      <c r="B25" t="n">
        <v>6</v>
      </c>
      <c r="C25" t="n">
        <v>2</v>
      </c>
      <c r="D25" t="n">
        <v>4</v>
      </c>
      <c r="E25" t="n">
        <v>0</v>
      </c>
      <c r="F25" s="17" t="n">
        <v>33.3</v>
      </c>
      <c r="G25" s="17" t="n">
        <v>66.7</v>
      </c>
    </row>
    <row r="26">
      <c r="A26" t="inlineStr">
        <is>
          <t>2025</t>
        </is>
      </c>
      <c r="B26" t="n">
        <v>4</v>
      </c>
      <c r="C26" t="n">
        <v>2</v>
      </c>
      <c r="D26" t="n">
        <v>2</v>
      </c>
      <c r="E26" t="n">
        <v>0</v>
      </c>
      <c r="F26" s="17" t="n">
        <v>50</v>
      </c>
      <c r="G26" s="17" t="n">
        <v>50</v>
      </c>
    </row>
    <row r="27"/>
    <row r="28">
      <c r="A28" s="14" t="inlineStr">
        <is>
          <t>3. По категориям</t>
        </is>
      </c>
    </row>
    <row r="29">
      <c r="A29" s="16" t="inlineStr">
        <is>
          <t>Категория</t>
        </is>
      </c>
      <c r="B29" s="16" t="inlineStr">
        <is>
          <t>Всего</t>
        </is>
      </c>
      <c r="C29" s="16" t="inlineStr">
        <is>
          <t>Работник</t>
        </is>
      </c>
      <c r="D29" s="16" t="inlineStr">
        <is>
          <t>Работодатель</t>
        </is>
      </c>
      <c r="E29" s="16" t="inlineStr">
        <is>
          <t>Доля работника %</t>
        </is>
      </c>
      <c r="F29" s="16" t="inlineStr">
        <is>
          <t>Популярность в выборке %</t>
        </is>
      </c>
    </row>
    <row r="30">
      <c r="A30" t="inlineStr">
        <is>
          <t>Увольнение</t>
        </is>
      </c>
      <c r="B30" t="n">
        <v>19</v>
      </c>
      <c r="C30" t="n">
        <v>9</v>
      </c>
      <c r="D30" t="n">
        <v>8</v>
      </c>
      <c r="E30" s="17" t="n">
        <v>47.4</v>
      </c>
      <c r="F30" s="17" t="n">
        <v>70.40000000000001</v>
      </c>
    </row>
    <row r="31">
      <c r="A31" t="inlineStr">
        <is>
          <t>Дисциплина / выговор</t>
        </is>
      </c>
      <c r="B31" t="n">
        <v>5</v>
      </c>
      <c r="C31" t="n">
        <v>3</v>
      </c>
      <c r="D31" t="n">
        <v>2</v>
      </c>
      <c r="E31" s="17" t="n">
        <v>60</v>
      </c>
      <c r="F31" s="17" t="n">
        <v>18.5</v>
      </c>
    </row>
    <row r="32">
      <c r="A32" t="inlineStr">
        <is>
          <t>ГИТ / предписания</t>
        </is>
      </c>
      <c r="B32" t="n">
        <v>2</v>
      </c>
      <c r="C32" t="n">
        <v>0</v>
      </c>
      <c r="D32" t="n">
        <v>2</v>
      </c>
      <c r="E32" s="17" t="n">
        <v>0</v>
      </c>
      <c r="F32" s="17" t="n">
        <v>7.4</v>
      </c>
    </row>
    <row r="33">
      <c r="A33" t="inlineStr">
        <is>
          <t>Сокращение</t>
        </is>
      </c>
      <c r="B33" t="n">
        <v>1</v>
      </c>
      <c r="C33" t="n">
        <v>1</v>
      </c>
      <c r="D33" t="n">
        <v>0</v>
      </c>
      <c r="E33" s="17" t="n">
        <v>100</v>
      </c>
      <c r="F33" s="17" t="n">
        <v>3.7</v>
      </c>
    </row>
    <row r="34"/>
    <row r="35">
      <c r="A35" s="14" t="inlineStr">
        <is>
          <t>4. По каналу ЭДО</t>
        </is>
      </c>
    </row>
    <row r="36">
      <c r="A36" s="16" t="inlineStr">
        <is>
          <t>Канал ЭДО</t>
        </is>
      </c>
      <c r="B36" s="16" t="inlineStr">
        <is>
          <t>Всего</t>
        </is>
      </c>
      <c r="C36" s="16" t="inlineStr">
        <is>
          <t>Работник</t>
        </is>
      </c>
      <c r="D36" s="16" t="inlineStr">
        <is>
          <t>Работодатель</t>
        </is>
      </c>
      <c r="E36" s="16" t="inlineStr">
        <is>
          <t>Доля работника %</t>
        </is>
      </c>
      <c r="F36" s="16" t="inlineStr">
        <is>
          <t>Популярность в выборке %</t>
        </is>
      </c>
    </row>
    <row r="37">
      <c r="A37" t="inlineStr">
        <is>
          <t>КЭДО / корп. ЭДО</t>
        </is>
      </c>
      <c r="B37" t="n">
        <v>14</v>
      </c>
      <c r="C37" t="n">
        <v>4</v>
      </c>
      <c r="D37" t="n">
        <v>8</v>
      </c>
      <c r="E37" s="17" t="n">
        <v>28.6</v>
      </c>
      <c r="F37" s="17" t="n">
        <v>51.9</v>
      </c>
    </row>
    <row r="38">
      <c r="A38" t="inlineStr">
        <is>
          <t>E-mail / почта</t>
        </is>
      </c>
      <c r="B38" t="n">
        <v>9</v>
      </c>
      <c r="C38" t="n">
        <v>6</v>
      </c>
      <c r="D38" t="n">
        <v>3</v>
      </c>
      <c r="E38" s="17" t="n">
        <v>66.7</v>
      </c>
      <c r="F38" s="17" t="n">
        <v>33.3</v>
      </c>
    </row>
    <row r="39">
      <c r="A39" t="inlineStr">
        <is>
          <t>Гос. ЭДО</t>
        </is>
      </c>
      <c r="B39" t="n">
        <v>2</v>
      </c>
      <c r="C39" t="n">
        <v>2</v>
      </c>
      <c r="D39" t="n">
        <v>0</v>
      </c>
      <c r="E39" s="17" t="n">
        <v>100</v>
      </c>
      <c r="F39" s="17" t="n">
        <v>7.4</v>
      </c>
    </row>
    <row r="40">
      <c r="A40" t="inlineStr">
        <is>
          <t>Прочее</t>
        </is>
      </c>
      <c r="B40" t="n">
        <v>2</v>
      </c>
      <c r="C40" t="n">
        <v>1</v>
      </c>
      <c r="D40" t="n">
        <v>1</v>
      </c>
      <c r="E40" s="17" t="n">
        <v>50</v>
      </c>
      <c r="F40" s="17" t="n">
        <v>7.4</v>
      </c>
    </row>
    <row r="41"/>
    <row r="42">
      <c r="A42" s="14" t="inlineStr">
        <is>
          <t>5. Правовые позиции (кластеры)</t>
        </is>
      </c>
    </row>
    <row r="43">
      <c r="A43" s="16" t="inlineStr">
        <is>
          <t>Правовая позиция</t>
        </is>
      </c>
      <c r="B43" s="16" t="inlineStr">
        <is>
          <t>Дел</t>
        </is>
      </c>
      <c r="C43" s="16" t="inlineStr">
        <is>
          <t>Работник</t>
        </is>
      </c>
      <c r="D43" s="16" t="inlineStr">
        <is>
          <t>Работодатель</t>
        </is>
      </c>
      <c r="E43" s="16" t="inlineStr">
        <is>
          <t>Частота «работник» %</t>
        </is>
      </c>
      <c r="F43" s="16" t="inlineStr">
        <is>
          <t>Тренд</t>
        </is>
      </c>
    </row>
    <row r="44">
      <c r="A44" t="inlineStr">
        <is>
          <t>Нет согласия на КЭДО</t>
        </is>
      </c>
      <c r="B44" t="n">
        <v>9</v>
      </c>
      <c r="C44" t="n">
        <v>8</v>
      </c>
      <c r="D44" t="n">
        <v>1</v>
      </c>
      <c r="E44" s="17" t="n">
        <v>88.90000000000001</v>
      </c>
      <c r="F44" t="inlineStr">
        <is>
          <t>За работника</t>
        </is>
      </c>
    </row>
    <row r="45">
      <c r="A45" t="inlineStr">
        <is>
          <t>E-mail / почта</t>
        </is>
      </c>
      <c r="B45" t="n">
        <v>5</v>
      </c>
      <c r="C45" t="n">
        <v>2</v>
      </c>
      <c r="D45" t="n">
        <v>3</v>
      </c>
      <c r="E45" s="17" t="n">
        <v>40</v>
      </c>
      <c r="F45" t="inlineStr">
        <is>
          <t>За работодателя</t>
        </is>
      </c>
    </row>
    <row r="46">
      <c r="A46" t="inlineStr">
        <is>
          <t>КЭДО с соглашением</t>
        </is>
      </c>
      <c r="B46" t="n">
        <v>5</v>
      </c>
      <c r="C46" t="n">
        <v>0</v>
      </c>
      <c r="D46" t="n">
        <v>5</v>
      </c>
      <c r="E46" s="17" t="n">
        <v>0</v>
      </c>
      <c r="F46" t="inlineStr">
        <is>
          <t>За работодателя</t>
        </is>
      </c>
    </row>
    <row r="47">
      <c r="A47" t="inlineStr">
        <is>
          <t>Ознакомление ЛНА / ОТ</t>
        </is>
      </c>
      <c r="B47" t="n">
        <v>4</v>
      </c>
      <c r="C47" t="n">
        <v>1</v>
      </c>
      <c r="D47" t="n">
        <v>3</v>
      </c>
      <c r="E47" s="17" t="n">
        <v>25</v>
      </c>
      <c r="F47" t="inlineStr">
        <is>
          <t>За работодателя</t>
        </is>
      </c>
    </row>
    <row r="48">
      <c r="A48" t="inlineStr">
        <is>
          <t>Ошибочное подписание / SMS</t>
        </is>
      </c>
      <c r="B48" t="n">
        <v>3</v>
      </c>
      <c r="C48" t="n">
        <v>1</v>
      </c>
      <c r="D48" t="n">
        <v>0</v>
      </c>
      <c r="E48" s="17" t="n">
        <v>33.3</v>
      </c>
      <c r="F48" t="inlineStr">
        <is>
          <t>За работодателя</t>
        </is>
      </c>
    </row>
    <row r="49">
      <c r="A49" t="inlineStr">
        <is>
          <t>Дисциплина через ЭДО</t>
        </is>
      </c>
      <c r="B49" t="n">
        <v>1</v>
      </c>
      <c r="C49" t="n">
        <v>1</v>
      </c>
      <c r="D49" t="n">
        <v>0</v>
      </c>
      <c r="E49" s="17" t="n">
        <v>100</v>
      </c>
      <c r="F49" t="inlineStr">
        <is>
          <t>За работника</t>
        </is>
      </c>
    </row>
    <row r="50"/>
    <row r="51">
      <c r="A51" s="14" t="inlineStr">
        <is>
          <t>6. Группы сравнения</t>
        </is>
      </c>
      <c r="H51" t="inlineStr">
        <is>
          <t>Исход</t>
        </is>
      </c>
      <c r="I51" t="inlineStr">
        <is>
          <t>Кол-во</t>
        </is>
      </c>
    </row>
    <row r="52">
      <c r="A52" s="16" t="inlineStr">
        <is>
          <t>Группа сравнения</t>
        </is>
      </c>
      <c r="B52" s="16" t="inlineStr">
        <is>
          <t>Всего</t>
        </is>
      </c>
      <c r="C52" s="16" t="inlineStr">
        <is>
          <t>Работник</t>
        </is>
      </c>
      <c r="D52" s="16" t="inlineStr">
        <is>
          <t>Работодатель</t>
        </is>
      </c>
      <c r="E52" s="16" t="inlineStr">
        <is>
          <t>Преобладающий исход</t>
        </is>
      </c>
      <c r="H52" t="inlineStr">
        <is>
          <t>Работник</t>
        </is>
      </c>
      <c r="I52" t="n">
        <v>13</v>
      </c>
    </row>
    <row r="53">
      <c r="A53" t="inlineStr">
        <is>
          <t>КЭДО с соглашением → работодатель</t>
        </is>
      </c>
      <c r="B53" t="n">
        <v>4</v>
      </c>
      <c r="C53" t="n">
        <v>0</v>
      </c>
      <c r="D53" t="n">
        <v>4</v>
      </c>
      <c r="E53" t="inlineStr">
        <is>
          <t>Работодатель</t>
        </is>
      </c>
      <c r="H53" t="inlineStr">
        <is>
          <t>Работодатель</t>
        </is>
      </c>
      <c r="I53" t="n">
        <v>12</v>
      </c>
    </row>
    <row r="54">
      <c r="A54" t="inlineStr">
        <is>
          <t>E-mail без КЭДО → работник</t>
        </is>
      </c>
      <c r="B54" t="n">
        <v>3</v>
      </c>
      <c r="C54" t="n">
        <v>3</v>
      </c>
      <c r="D54" t="n">
        <v>0</v>
      </c>
      <c r="E54" t="inlineStr">
        <is>
          <t>Работник</t>
        </is>
      </c>
      <c r="H54" t="inlineStr">
        <is>
          <t>Пересмотр</t>
        </is>
      </c>
      <c r="I54" t="n">
        <v>2</v>
      </c>
    </row>
    <row r="55">
      <c r="A55" t="inlineStr">
        <is>
          <t>Нет согласия на КЭДО → работник</t>
        </is>
      </c>
      <c r="B55" t="n">
        <v>3</v>
      </c>
      <c r="C55" t="n">
        <v>3</v>
      </c>
      <c r="D55" t="n">
        <v>0</v>
      </c>
      <c r="E55" t="inlineStr">
        <is>
          <t>Работник</t>
        </is>
      </c>
    </row>
    <row r="56">
      <c r="A56" t="inlineStr">
        <is>
          <t>E-mail со сложившейся практикой → работодатель</t>
        </is>
      </c>
      <c r="B56" t="n">
        <v>2</v>
      </c>
      <c r="C56" t="n">
        <v>0</v>
      </c>
      <c r="D56" t="n">
        <v>2</v>
      </c>
      <c r="E56" t="inlineStr">
        <is>
          <t>Работодатель</t>
        </is>
      </c>
    </row>
    <row r="57">
      <c r="A57" t="inlineStr">
        <is>
          <t>КЭДО/SMS ошибочное подписание</t>
        </is>
      </c>
      <c r="B57" t="n">
        <v>2</v>
      </c>
      <c r="C57" t="n">
        <v>0</v>
      </c>
      <c r="D57" t="n">
        <v>0</v>
      </c>
      <c r="E57" t="inlineStr">
        <is>
          <t>—</t>
        </is>
      </c>
    </row>
    <row r="58">
      <c r="A58" t="inlineStr">
        <is>
          <t>E-mail + больничный без КЭДО → работник</t>
        </is>
      </c>
      <c r="B58" t="n">
        <v>1</v>
      </c>
      <c r="C58" t="n">
        <v>1</v>
      </c>
      <c r="D58" t="n">
        <v>0</v>
      </c>
      <c r="E58" t="inlineStr">
        <is>
          <t>Работник</t>
        </is>
      </c>
    </row>
    <row r="59">
      <c r="A59" t="inlineStr">
        <is>
          <t>E-mail объяснения без согласия → работник</t>
        </is>
      </c>
      <c r="B59" t="n">
        <v>1</v>
      </c>
      <c r="C59" t="n">
        <v>1</v>
      </c>
      <c r="D59" t="n">
        <v>0</v>
      </c>
      <c r="E59" t="inlineStr">
        <is>
          <t>Работник</t>
        </is>
      </c>
    </row>
    <row r="60">
      <c r="A60" t="inlineStr">
        <is>
          <t>Гос. ЭДО без согласия → работник</t>
        </is>
      </c>
      <c r="B60" t="n">
        <v>1</v>
      </c>
      <c r="C60" t="n">
        <v>1</v>
      </c>
      <c r="D60" t="n">
        <v>0</v>
      </c>
      <c r="E60" t="inlineStr">
        <is>
          <t>Работник</t>
        </is>
      </c>
    </row>
    <row r="61">
      <c r="A61" t="inlineStr">
        <is>
          <t>КЭДО + ЭП → работодатель (пара к 79RS0003, 88-10853)</t>
        </is>
      </c>
      <c r="B61" t="n">
        <v>1</v>
      </c>
      <c r="C61" t="n">
        <v>0</v>
      </c>
      <c r="D61" t="n">
        <v>1</v>
      </c>
      <c r="E61" t="inlineStr">
        <is>
          <t>Работодатель</t>
        </is>
      </c>
    </row>
    <row r="62">
      <c r="A62" t="inlineStr">
        <is>
          <t>КЭДО внедрён → работодатель</t>
        </is>
      </c>
      <c r="B62" t="n">
        <v>1</v>
      </c>
      <c r="C62" t="n">
        <v>0</v>
      </c>
      <c r="D62" t="n">
        <v>1</v>
      </c>
      <c r="E62" t="inlineStr">
        <is>
          <t>Работодатель</t>
        </is>
      </c>
    </row>
    <row r="63">
      <c r="A63" t="inlineStr">
        <is>
          <t>КЭДО/SMS ошибочное подписание → работник</t>
        </is>
      </c>
      <c r="B63" t="n">
        <v>1</v>
      </c>
      <c r="C63" t="n">
        <v>1</v>
      </c>
      <c r="D63" t="n">
        <v>0</v>
      </c>
      <c r="E63" t="inlineStr">
        <is>
          <t>Работник</t>
        </is>
      </c>
    </row>
    <row r="64">
      <c r="A64" t="inlineStr">
        <is>
          <t>ЛНА через ЭДО → работодатель</t>
        </is>
      </c>
      <c r="B64" t="n">
        <v>1</v>
      </c>
      <c r="C64" t="n">
        <v>0</v>
      </c>
      <c r="D64" t="n">
        <v>1</v>
      </c>
      <c r="E64" t="inlineStr">
        <is>
          <t>Работодатель</t>
        </is>
      </c>
    </row>
    <row r="65">
      <c r="A65" t="inlineStr">
        <is>
          <t>Нет ЛНА о КЭДО → работник</t>
        </is>
      </c>
      <c r="B65" t="n">
        <v>1</v>
      </c>
      <c r="C65" t="n">
        <v>1</v>
      </c>
      <c r="D65" t="n">
        <v>0</v>
      </c>
      <c r="E65" t="inlineStr">
        <is>
          <t>Работник</t>
        </is>
      </c>
    </row>
    <row r="66">
      <c r="A66" t="inlineStr">
        <is>
          <t>ЭДО + ЛНА обязанность → работодатель</t>
        </is>
      </c>
      <c r="B66" t="n">
        <v>1</v>
      </c>
      <c r="C66" t="n">
        <v>0</v>
      </c>
      <c r="D66" t="n">
        <v>1</v>
      </c>
      <c r="E66" t="inlineStr">
        <is>
          <t>Работодатель</t>
        </is>
      </c>
    </row>
    <row r="67">
      <c r="A67" t="inlineStr">
        <is>
          <t>ЭДО без доказанной доставки → работник</t>
        </is>
      </c>
      <c r="B67" t="n">
        <v>1</v>
      </c>
      <c r="C67" t="n">
        <v>1</v>
      </c>
      <c r="D67" t="n">
        <v>0</v>
      </c>
      <c r="E67" t="inlineStr">
        <is>
          <t>Работник</t>
        </is>
      </c>
    </row>
    <row r="68">
      <c r="A68" t="inlineStr">
        <is>
          <t>ЭДО/почта + обязанность в ЛНА → работодатель</t>
        </is>
      </c>
      <c r="B68" t="n">
        <v>1</v>
      </c>
      <c r="C68" t="n">
        <v>0</v>
      </c>
      <c r="D68" t="n">
        <v>1</v>
      </c>
      <c r="E68" t="inlineStr">
        <is>
          <t>Работодатель</t>
        </is>
      </c>
    </row>
    <row r="69"/>
    <row r="70"/>
    <row r="71">
      <c r="A71" s="14" t="inlineStr">
        <is>
          <t>Выводы:</t>
        </is>
      </c>
    </row>
    <row r="72">
      <c r="A72" t="inlineStr">
        <is>
          <t>• 2023 — пик споров (8 дел) после реформы ТК РФ.</t>
        </is>
      </c>
    </row>
    <row r="73">
      <c r="A73" t="inlineStr">
        <is>
          <t>• В выборке 48.1% исходов за работника, 44.4% за работодателя.</t>
        </is>
      </c>
    </row>
    <row r="74">
      <c r="A74" t="inlineStr">
        <is>
          <t>• «Нет согласия на КЭДО» — устойчивая позиция за работника (88.9% в кластере, 9 дел).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sheetData>
    <row r="1" ht="43.5" customHeight="1">
      <c r="A1" s="1" t="inlineStr">
        <is>
          <t>Группа</t>
        </is>
      </c>
      <c r="B1" s="1" t="inlineStr">
        <is>
          <t>Общие факты</t>
        </is>
      </c>
      <c r="C1" s="1" t="inlineStr">
        <is>
          <t>Дело А (исход)</t>
        </is>
      </c>
      <c r="D1" s="1" t="inlineStr">
        <is>
          <t>Дело Б (исход)</t>
        </is>
      </c>
      <c r="E1" s="1" t="inlineStr">
        <is>
          <t>Что решило суд</t>
        </is>
      </c>
    </row>
    <row r="2" ht="130.5" customHeight="1">
      <c r="A2" s="2" t="inlineStr">
        <is>
          <t>E-mail увольнение БЕЗ КЭДО</t>
        </is>
      </c>
      <c r="B2" s="2" t="inlineStr">
        <is>
          <t>Заявление по e-mail, больничный, отзыв, нет КЭДО</t>
        </is>
      </c>
      <c r="C2" s="2" t="inlineStr">
        <is>
          <t>88-9208/2026 (1 КСОЮ) → Работник</t>
        </is>
      </c>
      <c r="D2" s="2" t="inlineStr">
        <is>
          <t>88-23257/2025 (2 КСОЮ, Бежко) → Работник</t>
        </is>
      </c>
      <c r="E2" s="2" t="inlineStr">
        <is>
          <t>Нет КЭДО, воля не выяснена, больничный, отзыв до приказа</t>
        </is>
      </c>
    </row>
    <row r="3" ht="130.5" customHeight="1">
      <c r="A3" s="2" t="inlineStr">
        <is>
          <t>E-mail увольнение БЕЗ КЭДО</t>
        </is>
      </c>
      <c r="B3" s="2" t="inlineStr">
        <is>
          <t>Заявление по e-mail при отсутствии КЭДО</t>
        </is>
      </c>
      <c r="C3" s="2" t="inlineStr">
        <is>
          <t>88-9208/2026 → Работник</t>
        </is>
      </c>
      <c r="D3" s="2" t="inlineStr">
        <is>
          <t>8Г-13036/2024, 88-15101/2024 → Работодатель</t>
        </is>
      </c>
      <c r="E3" s="2" t="inlineStr">
        <is>
          <t>Исключение: устойчивая практика приёма документов по e-mail</t>
        </is>
      </c>
    </row>
    <row r="4" ht="101.5" customHeight="1">
      <c r="A4" s="2" t="inlineStr">
        <is>
          <t>Нет согласия на КЭДО</t>
        </is>
      </c>
      <c r="B4" s="2" t="inlineStr">
        <is>
          <t>ЭДО используется, письменного согласия нет</t>
        </is>
      </c>
      <c r="C4" s="2" t="inlineStr">
        <is>
          <t>88-12460/2023, 6 КСОЮ sudrf → Работник</t>
        </is>
      </c>
      <c r="D4" s="2" t="inlineStr">
        <is>
          <t>88-8165/2023, РТИ-Строй 2025 → Работодатель</t>
        </is>
      </c>
      <c r="E4" s="2" t="inlineStr">
        <is>
          <t>Наличие соглашения/согласия и стандарта ЭКДО</t>
        </is>
      </c>
    </row>
    <row r="5" ht="101.5" customHeight="1">
      <c r="A5" s="2" t="inlineStr">
        <is>
          <t>Объяснения / взыскание по e-mail</t>
        </is>
      </c>
      <c r="B5" s="2" t="inlineStr">
        <is>
          <t>Дисциплина без согласия на КЭДО</t>
        </is>
      </c>
      <c r="C5" s="2" t="inlineStr">
        <is>
          <t>hgvay2R3ynLK 2022, 2-17/2022 → Работник</t>
        </is>
      </c>
      <c r="D5" s="2" t="inlineStr">
        <is>
          <t>33-3150/2023 Оренбург → Работник</t>
        </is>
      </c>
      <c r="E5" s="2" t="inlineStr">
        <is>
          <t>Ст. 193 ТК РФ: без согласия e-mail недостаточен</t>
        </is>
      </c>
    </row>
    <row r="6" ht="130.5" customHeight="1">
      <c r="A6" s="2" t="inlineStr">
        <is>
          <t>Выговор через ЭДО</t>
        </is>
      </c>
      <c r="B6" s="2" t="inlineStr">
        <is>
          <t>Оспаривание дисциплинарного взыскания</t>
        </is>
      </c>
      <c r="C6" s="2" t="inlineStr">
        <is>
          <t>2-923/2023, 88-7653/2024 → Работодатель</t>
        </is>
      </c>
      <c r="D6" s="2" t="inlineStr">
        <is>
          <t>2-2583/2024, 84948062, 88-20602/2023 → Работник</t>
        </is>
      </c>
      <c r="E6" s="2" t="inlineStr">
        <is>
          <t>ЛНА + доказанная доставка vs нет согласия/доставки</t>
        </is>
      </c>
    </row>
    <row r="7" ht="174" customHeight="1">
      <c r="A7" s="2" t="inlineStr">
        <is>
          <t>Увольнение через КЭДО/ЭП</t>
        </is>
      </c>
      <c r="B7" s="2" t="inlineStr">
        <is>
          <t>Заявление подписано в системе</t>
        </is>
      </c>
      <c r="C7" s="2" t="inlineStr">
        <is>
          <t>88-10853/2022, 79RS0003 → Работник</t>
        </is>
      </c>
      <c r="D7" s="2" t="inlineStr">
        <is>
          <t>2-130/2020, 2-2178/2023, 88-1374/2025 → Работодатель</t>
        </is>
      </c>
      <c r="E7" s="2" t="inlineStr">
        <is>
          <t>Ошибка/SMS/первое использование vs согласие и отсутствие оспаривания воли</t>
        </is>
      </c>
    </row>
    <row r="8" ht="116" customHeight="1">
      <c r="A8" s="2" t="inlineStr">
        <is>
          <t>Ознакомление с ЛНА</t>
        </is>
      </c>
      <c r="B8" s="2" t="inlineStr">
        <is>
          <t>Электронное vs бумажное ознакомление</t>
        </is>
      </c>
      <c r="C8" s="2" t="inlineStr">
        <is>
          <t>2-1091/2014 → Работодатель</t>
        </is>
      </c>
      <c r="D8" s="2" t="inlineStr">
        <is>
          <t>33-4969/2023 сокращение → Работник</t>
        </is>
      </c>
      <c r="E8" s="2" t="inlineStr">
        <is>
          <t>ЭДО для ЛНА OK vs нет ЛНА о КЭДО для сокращения</t>
        </is>
      </c>
    </row>
    <row r="9" ht="101.5" customHeight="1">
      <c r="A9" s="2" t="inlineStr">
        <is>
          <t>Увольнение третьим лицом / SMS</t>
        </is>
      </c>
      <c r="B9" s="2" t="inlineStr">
        <is>
          <t>Чужой доступ к ЛК, SMS-коды</t>
        </is>
      </c>
      <c r="C9" s="2" t="inlineStr">
        <is>
          <t>88-1761/2022 → Пересмотр</t>
        </is>
      </c>
      <c r="D9" s="2" t="inlineStr">
        <is>
          <t>88-10853/2022 → Работник</t>
        </is>
      </c>
      <c r="E9" s="2" t="inlineStr">
        <is>
          <t>Кассации требуют выяснения реальной воли</t>
        </is>
      </c>
    </row>
  </sheetData>
  <autoFilter ref="A1:E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Колонка</t>
        </is>
      </c>
      <c r="B1" t="inlineStr">
        <is>
          <t>Пояснение</t>
        </is>
      </c>
    </row>
    <row r="2">
      <c r="A2" t="inlineStr">
        <is>
          <t>Группа сравнения</t>
        </is>
      </c>
      <c r="B2" t="inlineStr">
        <is>
          <t>Кластер для поиска похожих/противоположных дел</t>
        </is>
      </c>
    </row>
    <row r="3">
      <c r="A3" t="inlineStr">
        <is>
          <t>...</t>
        </is>
      </c>
      <c r="B3" t="inlineStr">
        <is>
          <t>См. лист «Пары и противоположности»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18" customWidth="1" min="1" max="1"/>
    <col width="11" customWidth="1" min="2" max="2"/>
    <col width="10" customWidth="1" min="3" max="3"/>
    <col width="14" customWidth="1" min="4" max="4"/>
    <col width="11" customWidth="1" min="5" max="5"/>
    <col width="12" customWidth="1" min="6" max="6"/>
    <col width="16" customWidth="1" min="7" max="7"/>
    <col width="22" customWidth="1" min="8" max="8"/>
    <col width="10" customWidth="1" min="9" max="9"/>
    <col width="10" customWidth="1" min="10" max="10"/>
    <col width="14" customWidth="1" min="11" max="11"/>
  </cols>
  <sheetData>
    <row r="1">
      <c r="A1" s="15" t="inlineStr">
        <is>
          <t>Год</t>
        </is>
      </c>
      <c r="B1" s="15" t="inlineStr">
        <is>
          <t>Всего дел</t>
        </is>
      </c>
      <c r="C1" s="15" t="inlineStr">
        <is>
          <t>Работник</t>
        </is>
      </c>
      <c r="D1" s="15" t="inlineStr">
        <is>
          <t>Работодатель</t>
        </is>
      </c>
      <c r="E1" s="15" t="inlineStr">
        <is>
          <t>Пересмотр</t>
        </is>
      </c>
      <c r="F1" s="15" t="inlineStr">
        <is>
          <t>% работник</t>
        </is>
      </c>
      <c r="G1" s="15" t="inlineStr">
        <is>
          <t>% работодатель</t>
        </is>
      </c>
      <c r="H1" s="15" t="inlineStr">
        <is>
          <t>Категория</t>
        </is>
      </c>
      <c r="I1" s="15" t="inlineStr">
        <is>
          <t>Всего</t>
        </is>
      </c>
      <c r="J1" s="15" t="inlineStr">
        <is>
          <t>Работник</t>
        </is>
      </c>
      <c r="K1" s="15" t="inlineStr">
        <is>
          <t>Работодатель</t>
        </is>
      </c>
    </row>
    <row r="2">
      <c r="A2" t="inlineStr">
        <is>
          <t>2014</t>
        </is>
      </c>
      <c r="B2" t="n">
        <v>1</v>
      </c>
      <c r="C2" t="n">
        <v>0</v>
      </c>
      <c r="D2" t="n">
        <v>1</v>
      </c>
      <c r="E2" t="n">
        <v>0</v>
      </c>
      <c r="F2" t="n">
        <v>0</v>
      </c>
      <c r="G2" t="n">
        <v>100</v>
      </c>
      <c r="H2" t="inlineStr">
        <is>
          <t>Увольнение</t>
        </is>
      </c>
      <c r="I2" t="n">
        <v>19</v>
      </c>
      <c r="J2" t="n">
        <v>9</v>
      </c>
      <c r="K2" t="n">
        <v>8</v>
      </c>
    </row>
    <row r="3">
      <c r="A3" t="inlineStr">
        <is>
          <t>2015</t>
        </is>
      </c>
      <c r="B3" t="n">
        <v>1</v>
      </c>
      <c r="C3" t="n">
        <v>1</v>
      </c>
      <c r="D3" t="n">
        <v>0</v>
      </c>
      <c r="E3" t="n">
        <v>0</v>
      </c>
      <c r="F3" t="n">
        <v>100</v>
      </c>
      <c r="G3" t="n">
        <v>0</v>
      </c>
      <c r="H3" t="inlineStr">
        <is>
          <t>Дисциплина / выговор</t>
        </is>
      </c>
      <c r="I3" t="n">
        <v>5</v>
      </c>
      <c r="J3" t="n">
        <v>3</v>
      </c>
      <c r="K3" t="n">
        <v>2</v>
      </c>
    </row>
    <row r="4">
      <c r="A4" t="inlineStr">
        <is>
          <t>2017</t>
        </is>
      </c>
      <c r="B4" t="n">
        <v>1</v>
      </c>
      <c r="C4" t="n">
        <v>0</v>
      </c>
      <c r="D4" t="n">
        <v>1</v>
      </c>
      <c r="E4" t="n">
        <v>0</v>
      </c>
      <c r="F4" t="n">
        <v>0</v>
      </c>
      <c r="G4" t="n">
        <v>100</v>
      </c>
      <c r="H4" t="inlineStr">
        <is>
          <t>ГИТ / предписания</t>
        </is>
      </c>
      <c r="I4" t="n">
        <v>2</v>
      </c>
      <c r="J4" t="n">
        <v>0</v>
      </c>
      <c r="K4" t="n">
        <v>2</v>
      </c>
    </row>
    <row r="5">
      <c r="A5" t="inlineStr">
        <is>
          <t>2020</t>
        </is>
      </c>
      <c r="B5" t="n">
        <v>1</v>
      </c>
      <c r="C5" t="n">
        <v>0</v>
      </c>
      <c r="D5" t="n">
        <v>1</v>
      </c>
      <c r="E5" t="n">
        <v>0</v>
      </c>
      <c r="F5" t="n">
        <v>0</v>
      </c>
      <c r="G5" t="n">
        <v>100</v>
      </c>
      <c r="H5" t="inlineStr">
        <is>
          <t>Сокращение</t>
        </is>
      </c>
      <c r="I5" t="n">
        <v>1</v>
      </c>
      <c r="J5" t="n">
        <v>1</v>
      </c>
      <c r="K5" t="n">
        <v>0</v>
      </c>
    </row>
    <row r="6">
      <c r="A6" t="inlineStr">
        <is>
          <t>2022</t>
        </is>
      </c>
      <c r="B6" t="n">
        <v>5</v>
      </c>
      <c r="C6" t="n">
        <v>3</v>
      </c>
      <c r="D6" t="n">
        <v>0</v>
      </c>
      <c r="E6" t="n">
        <v>2</v>
      </c>
      <c r="F6" t="n">
        <v>60</v>
      </c>
      <c r="G6" t="n">
        <v>0</v>
      </c>
    </row>
    <row r="7">
      <c r="A7" t="inlineStr">
        <is>
          <t>2023</t>
        </is>
      </c>
      <c r="B7" t="n">
        <v>8</v>
      </c>
      <c r="C7" t="n">
        <v>5</v>
      </c>
      <c r="D7" t="n">
        <v>3</v>
      </c>
      <c r="E7" t="n">
        <v>0</v>
      </c>
      <c r="F7" t="n">
        <v>62.5</v>
      </c>
      <c r="G7" t="n">
        <v>37.5</v>
      </c>
    </row>
    <row r="8">
      <c r="A8" t="inlineStr">
        <is>
          <t>2024</t>
        </is>
      </c>
      <c r="B8" t="n">
        <v>6</v>
      </c>
      <c r="C8" t="n">
        <v>2</v>
      </c>
      <c r="D8" t="n">
        <v>4</v>
      </c>
      <c r="E8" t="n">
        <v>0</v>
      </c>
      <c r="F8" t="n">
        <v>33.3</v>
      </c>
      <c r="G8" t="n">
        <v>66.7</v>
      </c>
    </row>
    <row r="9">
      <c r="A9" t="inlineStr">
        <is>
          <t>2025</t>
        </is>
      </c>
      <c r="B9" t="n">
        <v>4</v>
      </c>
      <c r="C9" t="n">
        <v>2</v>
      </c>
      <c r="D9" t="n">
        <v>2</v>
      </c>
      <c r="E9" t="n">
        <v>0</v>
      </c>
      <c r="F9" t="n">
        <v>50</v>
      </c>
      <c r="G9" t="n">
        <v>50</v>
      </c>
    </row>
    <row r="10"/>
    <row r="11"/>
    <row r="12">
      <c r="A12" s="15" t="inlineStr">
        <is>
          <t>Исход</t>
        </is>
      </c>
      <c r="B12" s="15" t="inlineStr">
        <is>
          <t>Кол-во</t>
        </is>
      </c>
    </row>
    <row r="13">
      <c r="A13" t="inlineStr">
        <is>
          <t>Работник</t>
        </is>
      </c>
      <c r="B13" t="n">
        <v>13</v>
      </c>
    </row>
    <row r="14">
      <c r="A14" t="inlineStr">
        <is>
          <t>Работодатель</t>
        </is>
      </c>
      <c r="B14" t="n">
        <v>12</v>
      </c>
    </row>
    <row r="15">
      <c r="A15" t="inlineStr">
        <is>
          <t>Пересмотр</t>
        </is>
      </c>
      <c r="B15" t="n">
        <v>2</v>
      </c>
    </row>
    <row r="16"/>
    <row r="17">
      <c r="A17" s="15" t="inlineStr">
        <is>
          <t>Канал ЭДО</t>
        </is>
      </c>
      <c r="B17" s="15" t="inlineStr">
        <is>
          <t>Всего</t>
        </is>
      </c>
      <c r="C17" s="15" t="inlineStr">
        <is>
          <t>Работник</t>
        </is>
      </c>
      <c r="D17" s="15" t="inlineStr">
        <is>
          <t>Работодатель</t>
        </is>
      </c>
    </row>
    <row r="18">
      <c r="A18" t="inlineStr">
        <is>
          <t>КЭДО / корп. ЭДО</t>
        </is>
      </c>
      <c r="B18" t="n">
        <v>14</v>
      </c>
      <c r="C18" t="n">
        <v>4</v>
      </c>
      <c r="D18" t="n">
        <v>8</v>
      </c>
    </row>
    <row r="19">
      <c r="A19" t="inlineStr">
        <is>
          <t>E-mail / почта</t>
        </is>
      </c>
      <c r="B19" t="n">
        <v>9</v>
      </c>
      <c r="C19" t="n">
        <v>6</v>
      </c>
      <c r="D19" t="n">
        <v>3</v>
      </c>
    </row>
    <row r="20">
      <c r="A20" t="inlineStr">
        <is>
          <t>Гос. ЭДО</t>
        </is>
      </c>
      <c r="B20" t="n">
        <v>2</v>
      </c>
      <c r="C20" t="n">
        <v>2</v>
      </c>
      <c r="D20" t="n">
        <v>0</v>
      </c>
    </row>
    <row r="21">
      <c r="A21" t="inlineStr">
        <is>
          <t>Прочее</t>
        </is>
      </c>
      <c r="B21" t="n">
        <v>2</v>
      </c>
      <c r="C21" t="n">
        <v>1</v>
      </c>
      <c r="D2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5" customWidth="1" min="1" max="1"/>
    <col width="25" customWidth="1" min="2" max="2"/>
    <col width="10" customWidth="1" min="3" max="3"/>
  </cols>
  <sheetData>
    <row r="1">
      <c r="A1" s="15" t="inlineStr">
        <is>
          <t>Группа сравнения</t>
        </is>
      </c>
      <c r="B1" s="15" t="inlineStr">
        <is>
          <t>Исход (на чьей стороне)</t>
        </is>
      </c>
      <c r="C1" s="15" t="inlineStr">
        <is>
          <t>Кол-во</t>
        </is>
      </c>
    </row>
    <row r="2">
      <c r="A2" t="inlineStr">
        <is>
          <t>E-mail + больничный без КЭДО → работник</t>
        </is>
      </c>
      <c r="B2" t="inlineStr">
        <is>
          <t>Работник</t>
        </is>
      </c>
      <c r="C2" t="n">
        <v>1</v>
      </c>
    </row>
    <row r="3">
      <c r="A3" t="inlineStr">
        <is>
          <t>E-mail без КЭДО → работник</t>
        </is>
      </c>
      <c r="B3" t="inlineStr">
        <is>
          <t>Работник</t>
        </is>
      </c>
      <c r="C3" t="n">
        <v>3</v>
      </c>
    </row>
    <row r="4">
      <c r="A4" t="inlineStr">
        <is>
          <t>E-mail объяснения без согласия → работник</t>
        </is>
      </c>
      <c r="B4" t="inlineStr">
        <is>
          <t>Работник</t>
        </is>
      </c>
      <c r="C4" t="n">
        <v>1</v>
      </c>
    </row>
    <row r="5">
      <c r="A5" t="inlineStr">
        <is>
          <t>E-mail со сложившейся практикой → работодатель</t>
        </is>
      </c>
      <c r="B5" t="inlineStr">
        <is>
          <t>Работодатель</t>
        </is>
      </c>
      <c r="C5" t="n">
        <v>2</v>
      </c>
    </row>
    <row r="6">
      <c r="A6" t="inlineStr">
        <is>
          <t>Гос. ЭДО без согласия → работник</t>
        </is>
      </c>
      <c r="B6" t="inlineStr">
        <is>
          <t>Работник</t>
        </is>
      </c>
      <c r="C6" t="n">
        <v>1</v>
      </c>
    </row>
    <row r="7">
      <c r="A7" t="inlineStr">
        <is>
          <t>КЭДО + ЭП → работодатель (пара к 79RS0003, 88-10853)</t>
        </is>
      </c>
      <c r="B7" t="inlineStr">
        <is>
          <t>Работодатель</t>
        </is>
      </c>
      <c r="C7" t="n">
        <v>1</v>
      </c>
    </row>
    <row r="8">
      <c r="A8" t="inlineStr">
        <is>
          <t>КЭДО внедрён → работодатель</t>
        </is>
      </c>
      <c r="B8" t="inlineStr">
        <is>
          <t>Работодатель</t>
        </is>
      </c>
      <c r="C8" t="n">
        <v>1</v>
      </c>
    </row>
    <row r="9">
      <c r="A9" t="inlineStr">
        <is>
          <t>КЭДО с соглашением → работодатель</t>
        </is>
      </c>
      <c r="B9" t="inlineStr">
        <is>
          <t>Работодатель</t>
        </is>
      </c>
      <c r="C9" t="n">
        <v>4</v>
      </c>
    </row>
    <row r="10">
      <c r="A10" t="inlineStr">
        <is>
          <t>КЭДО/SMS ошибочное подписание</t>
        </is>
      </c>
      <c r="B10" t="inlineStr">
        <is>
          <t>Пересмотр</t>
        </is>
      </c>
      <c r="C10" t="n">
        <v>2</v>
      </c>
    </row>
    <row r="11">
      <c r="A11" t="inlineStr">
        <is>
          <t>КЭДО/SMS ошибочное подписание → работник</t>
        </is>
      </c>
      <c r="B11" t="inlineStr">
        <is>
          <t>Работник</t>
        </is>
      </c>
      <c r="C11" t="n">
        <v>1</v>
      </c>
    </row>
    <row r="12">
      <c r="A12" t="inlineStr">
        <is>
          <t>ЛНА через ЭДО → работодатель</t>
        </is>
      </c>
      <c r="B12" t="inlineStr">
        <is>
          <t>Работодатель</t>
        </is>
      </c>
      <c r="C12" t="n">
        <v>1</v>
      </c>
    </row>
    <row r="13">
      <c r="A13" t="inlineStr">
        <is>
          <t>Нет ЛНА о КЭДО → работник</t>
        </is>
      </c>
      <c r="B13" t="inlineStr">
        <is>
          <t>Работник</t>
        </is>
      </c>
      <c r="C13" t="n">
        <v>1</v>
      </c>
    </row>
    <row r="14">
      <c r="A14" t="inlineStr">
        <is>
          <t>Нет согласия на КЭДО → работник</t>
        </is>
      </c>
      <c r="B14" t="inlineStr">
        <is>
          <t>Работник</t>
        </is>
      </c>
      <c r="C14" t="n">
        <v>3</v>
      </c>
    </row>
    <row r="15">
      <c r="A15" t="inlineStr">
        <is>
          <t>ЭДО + ЛНА обязанность → работодатель</t>
        </is>
      </c>
      <c r="B15" t="inlineStr">
        <is>
          <t>Работодатель</t>
        </is>
      </c>
      <c r="C15" t="n">
        <v>1</v>
      </c>
    </row>
    <row r="16">
      <c r="A16" t="inlineStr">
        <is>
          <t>ЭДО без доказанной доставки → работник</t>
        </is>
      </c>
      <c r="B16" t="inlineStr">
        <is>
          <t>Работник</t>
        </is>
      </c>
      <c r="C16" t="n">
        <v>1</v>
      </c>
    </row>
    <row r="17">
      <c r="A17" t="inlineStr">
        <is>
          <t>ЭДО/почта + обязанность в ЛНА → работодатель</t>
        </is>
      </c>
      <c r="B17" t="inlineStr">
        <is>
          <t>Работодатель</t>
        </is>
      </c>
      <c r="C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2026-07-13T11:09:23Z</dcterms:created>
  <dcterms:modified xsi:type="dcterms:W3CDTF">2026-07-13T13:31:27Z</dcterms:modified>
  <cp:lastModifiedBy>Натали</cp:lastModifiedBy>
</cp:coreProperties>
</file>