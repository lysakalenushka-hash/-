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сходные" sheetId="1" state="visible" r:id="rId1"/>
    <sheet name="1_РИСн_последовательно" sheetId="2" state="visible" r:id="rId2"/>
    <sheet name="2_РИСн_параллельно" sheetId="3" state="visible" r:id="rId3"/>
    <sheet name="3_РИВ_последовательно" sheetId="4" state="visible" r:id="rId4"/>
    <sheet name="4_РИВ_параллельно" sheetId="5" state="visible" r:id="rId5"/>
    <sheet name="Производительность_вывод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7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sz val="11"/>
    </font>
    <font>
      <name val="Calibri"/>
      <sz val="11"/>
    </font>
    <font>
      <name val="Calibri"/>
      <b val="1"/>
      <color rgb="002E75B6"/>
      <sz val="12"/>
    </font>
    <font>
      <name val="Calibri"/>
      <b val="1"/>
      <color rgb="00FFFFFF"/>
      <sz val="11"/>
    </font>
    <font>
      <name val="Calibri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2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2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3" fillId="0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164" fontId="3" fillId="4" borderId="1" applyAlignment="1" pivotButton="0" quotePrefix="0" xfId="0">
      <alignment horizontal="center" vertical="center"/>
    </xf>
    <xf numFmtId="2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ΠR, кмоль/ч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'Производительность_вывод'!E3</f>
            </strRef>
          </tx>
          <spPr>
            <a:ln>
              <a:prstDash val="solid"/>
            </a:ln>
          </spPr>
          <cat>
            <numRef>
              <f>'Производительность_вывод'!$A$4:$A$9</f>
            </numRef>
          </cat>
          <val>
            <numRef>
              <f>'Производительность_вывод'!$E$4:$E$9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ΠR, кмоль/ч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2" customWidth="1" min="1" max="1"/>
    <col width="92" customWidth="1" min="2" max="2"/>
  </cols>
  <sheetData>
    <row r="1">
      <c r="A1" s="1" t="inlineStr">
        <is>
          <t>Реакторные системы. Изотермические процессы. Вариант 2</t>
        </is>
      </c>
    </row>
    <row r="3" ht="20" customHeight="1">
      <c r="A3" s="2" t="inlineStr">
        <is>
          <t>Реакция</t>
        </is>
      </c>
      <c r="B3" s="3" t="inlineStr">
        <is>
          <t>A → R → S, n1 = n2 = 1 (как л/р №3, случай n1 = n2)</t>
        </is>
      </c>
    </row>
    <row r="4" ht="20" customHeight="1">
      <c r="A4" s="2" t="inlineStr">
        <is>
          <t>k1, k2</t>
        </is>
      </c>
      <c r="B4" s="3" t="inlineStr">
        <is>
          <t>0,6 мин⁻¹ и 0,4 мин⁻¹; T = 150 °C; Ei = 0</t>
        </is>
      </c>
    </row>
    <row r="5" ht="20" customHeight="1">
      <c r="A5" s="2" t="inlineStr">
        <is>
          <t>CA0</t>
        </is>
      </c>
      <c r="B5" s="3" t="inlineStr">
        <is>
          <t>30 моль/л</t>
        </is>
      </c>
    </row>
    <row r="6" ht="20" customHeight="1">
      <c r="A6" s="2" t="inlineStr">
        <is>
          <t>V системы</t>
        </is>
      </c>
      <c r="B6" s="3" t="inlineStr">
        <is>
          <t>100 л (суммарно, одинаково для всех схем)</t>
        </is>
      </c>
    </row>
    <row r="7" ht="20" customHeight="1">
      <c r="A7" s="2" t="inlineStr">
        <is>
          <t>v0 через систему</t>
        </is>
      </c>
      <c r="B7" s="3" t="inlineStr">
        <is>
          <t>50 л/мин</t>
        </is>
      </c>
    </row>
    <row r="8" ht="20" customHeight="1">
      <c r="A8" s="2" t="inlineStr">
        <is>
          <t>Число аппаратов</t>
        </is>
      </c>
      <c r="B8" s="3" t="inlineStr">
        <is>
          <t>4, объёмы равны: Vi = 25 л</t>
        </is>
      </c>
    </row>
    <row r="9" ht="20" customHeight="1">
      <c r="A9" s="2" t="inlineStr">
        <is>
          <t>1. РИС-н послед.</t>
        </is>
      </c>
      <c r="B9" s="3" t="inlineStr">
        <is>
          <t>последовательно; расход через каждый = 50 л/мин; τi = 25/50 = 0,5 мин</t>
        </is>
      </c>
    </row>
    <row r="10" ht="20" customHeight="1">
      <c r="A10" s="2" t="inlineStr">
        <is>
          <t>2. РИС-н паралл.</t>
        </is>
      </c>
      <c r="B10" s="3" t="inlineStr">
        <is>
          <t>параллельно, одинаковая нагрузка; vi = 12,5 л/мин; τi = 25/12,5 = 2 мин</t>
        </is>
      </c>
    </row>
    <row r="11" ht="20" customHeight="1">
      <c r="A11" s="2" t="inlineStr">
        <is>
          <t>3. РИВ послед.</t>
        </is>
      </c>
      <c r="B11" s="3" t="inlineStr">
        <is>
          <t>последовательно; τi = 0,5 мин; суммарно τ = 2 мин</t>
        </is>
      </c>
    </row>
    <row r="12" ht="20" customHeight="1">
      <c r="A12" s="2" t="inlineStr">
        <is>
          <t>4. РИВ паралл.</t>
        </is>
      </c>
      <c r="B12" s="3" t="inlineStr">
        <is>
          <t>параллельно, vi = 12,5 л/мин; τi = 2 мин</t>
        </is>
      </c>
    </row>
    <row r="13" ht="20" customHeight="1">
      <c r="A13" s="2" t="inlineStr">
        <is>
          <t>Концентрации</t>
        </is>
      </c>
      <c r="B13" s="3" t="inlineStr">
        <is>
          <t>CA = 30·(1−X); CR = 30·Y; CS = 30·Z</t>
        </is>
      </c>
    </row>
    <row r="14" ht="20" customHeight="1">
      <c r="A14" s="2" t="inlineStr">
        <is>
          <t>ΠR системы</t>
        </is>
      </c>
      <c r="B14" s="3" t="inlineStr">
        <is>
          <t>v0·CR_вых = 3·CR_вых, кмоль/ч (CR в моль/л)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4" customWidth="1" min="5" max="5"/>
    <col width="12" customWidth="1" min="6" max="6"/>
    <col width="14" customWidth="1" min="7" max="7"/>
  </cols>
  <sheetData>
    <row r="1">
      <c r="A1" s="1" t="inlineStr">
        <is>
          <t>Схема 1. Четыре РИС-н одинакового объёма, последовательно. Данные с экрана программы.</t>
        </is>
      </c>
    </row>
    <row r="3" ht="22" customHeight="1">
      <c r="A3" s="4" t="inlineStr">
        <is>
          <t>Реактор 1 (РИС-н), τi = 0,5 мин</t>
        </is>
      </c>
    </row>
    <row r="4" ht="28" customHeight="1">
      <c r="A4" s="5" t="inlineStr">
        <is>
          <t>τ, мин</t>
        </is>
      </c>
      <c r="B4" s="5" t="inlineStr">
        <is>
          <t>X</t>
        </is>
      </c>
      <c r="C4" s="5" t="inlineStr">
        <is>
          <t>CA, моль/л</t>
        </is>
      </c>
      <c r="D4" s="5" t="inlineStr">
        <is>
          <t>Y</t>
        </is>
      </c>
      <c r="E4" s="5" t="inlineStr">
        <is>
          <t>CR, моль/л</t>
        </is>
      </c>
      <c r="F4" s="5" t="inlineStr">
        <is>
          <t>Z</t>
        </is>
      </c>
      <c r="G4" s="5" t="inlineStr">
        <is>
          <t>CS, моль/л</t>
        </is>
      </c>
    </row>
    <row r="5">
      <c r="A5" s="6" t="n">
        <v>0</v>
      </c>
      <c r="B5" s="7" t="n">
        <v>0</v>
      </c>
      <c r="C5" s="6" t="n">
        <v>30</v>
      </c>
      <c r="D5" s="7" t="n">
        <v>0</v>
      </c>
      <c r="E5" s="6" t="n">
        <v>0</v>
      </c>
      <c r="F5" s="7" t="n">
        <v>0</v>
      </c>
      <c r="G5" s="6" t="n">
        <v>0</v>
      </c>
    </row>
    <row r="6">
      <c r="A6" s="8" t="n">
        <v>0.5</v>
      </c>
      <c r="B6" s="9" t="n">
        <v>0.2308</v>
      </c>
      <c r="C6" s="8" t="n">
        <v>23.076</v>
      </c>
      <c r="D6" s="9" t="n">
        <v>0.1923</v>
      </c>
      <c r="E6" s="8" t="n">
        <v>5.769</v>
      </c>
      <c r="F6" s="9" t="n">
        <v>0.0385</v>
      </c>
      <c r="G6" s="8" t="n">
        <v>1.155</v>
      </c>
    </row>
    <row r="9" ht="22" customHeight="1">
      <c r="A9" s="4" t="inlineStr">
        <is>
          <t>Реактор 2 (РИС-н), τi = 0,5 мин</t>
        </is>
      </c>
    </row>
    <row r="10" ht="28" customHeight="1">
      <c r="A10" s="5" t="inlineStr">
        <is>
          <t>τ, мин</t>
        </is>
      </c>
      <c r="B10" s="5" t="inlineStr">
        <is>
          <t>X</t>
        </is>
      </c>
      <c r="C10" s="5" t="inlineStr">
        <is>
          <t>CA, моль/л</t>
        </is>
      </c>
      <c r="D10" s="5" t="inlineStr">
        <is>
          <t>Y</t>
        </is>
      </c>
      <c r="E10" s="5" t="inlineStr">
        <is>
          <t>CR, моль/л</t>
        </is>
      </c>
      <c r="F10" s="5" t="inlineStr">
        <is>
          <t>Z</t>
        </is>
      </c>
      <c r="G10" s="5" t="inlineStr">
        <is>
          <t>CS, моль/л</t>
        </is>
      </c>
    </row>
    <row r="11">
      <c r="A11" s="6" t="n">
        <v>0</v>
      </c>
      <c r="B11" s="7" t="n">
        <v>0.2308</v>
      </c>
      <c r="C11" s="6" t="n">
        <v>23.076</v>
      </c>
      <c r="D11" s="7" t="n">
        <v>0.1923</v>
      </c>
      <c r="E11" s="6" t="n">
        <v>5.769</v>
      </c>
      <c r="F11" s="7" t="n">
        <v>0.0385</v>
      </c>
      <c r="G11" s="6" t="n">
        <v>1.155</v>
      </c>
    </row>
    <row r="12">
      <c r="A12" s="8" t="n">
        <v>0.5</v>
      </c>
      <c r="B12" s="9" t="n">
        <v>0.4083</v>
      </c>
      <c r="C12" s="8" t="n">
        <v>17.751</v>
      </c>
      <c r="D12" s="9" t="n">
        <v>0.3082</v>
      </c>
      <c r="E12" s="8" t="n">
        <v>9.245999999999999</v>
      </c>
      <c r="F12" s="9" t="n">
        <v>0.1001</v>
      </c>
      <c r="G12" s="8" t="n">
        <v>3.003</v>
      </c>
    </row>
    <row r="15" ht="22" customHeight="1">
      <c r="A15" s="4" t="inlineStr">
        <is>
          <t>Реактор 3 (РИС-н), τi = 0,5 мин</t>
        </is>
      </c>
    </row>
    <row r="16" ht="28" customHeight="1">
      <c r="A16" s="5" t="inlineStr">
        <is>
          <t>τ, мин</t>
        </is>
      </c>
      <c r="B16" s="5" t="inlineStr">
        <is>
          <t>X</t>
        </is>
      </c>
      <c r="C16" s="5" t="inlineStr">
        <is>
          <t>CA, моль/л</t>
        </is>
      </c>
      <c r="D16" s="5" t="inlineStr">
        <is>
          <t>Y</t>
        </is>
      </c>
      <c r="E16" s="5" t="inlineStr">
        <is>
          <t>CR, моль/л</t>
        </is>
      </c>
      <c r="F16" s="5" t="inlineStr">
        <is>
          <t>Z</t>
        </is>
      </c>
      <c r="G16" s="5" t="inlineStr">
        <is>
          <t>CS, моль/л</t>
        </is>
      </c>
    </row>
    <row r="17">
      <c r="A17" s="6" t="n">
        <v>0</v>
      </c>
      <c r="B17" s="7" t="n">
        <v>0.4083</v>
      </c>
      <c r="C17" s="6" t="n">
        <v>17.751</v>
      </c>
      <c r="D17" s="7" t="n">
        <v>0.3082</v>
      </c>
      <c r="E17" s="6" t="n">
        <v>9.245999999999999</v>
      </c>
      <c r="F17" s="7" t="n">
        <v>0.1001</v>
      </c>
      <c r="G17" s="6" t="n">
        <v>3.003</v>
      </c>
    </row>
    <row r="18">
      <c r="A18" s="8" t="n">
        <v>0.5</v>
      </c>
      <c r="B18" s="9" t="n">
        <v>0.5448</v>
      </c>
      <c r="C18" s="8" t="n">
        <v>13.656</v>
      </c>
      <c r="D18" s="9" t="n">
        <v>0.3706</v>
      </c>
      <c r="E18" s="8" t="n">
        <v>11.118</v>
      </c>
      <c r="F18" s="9" t="n">
        <v>0.1742</v>
      </c>
      <c r="G18" s="8" t="n">
        <v>5.226</v>
      </c>
    </row>
    <row r="21" ht="22" customHeight="1">
      <c r="A21" s="4" t="inlineStr">
        <is>
          <t>Реактор 4 (РИС-н), τi = 0,5 мин</t>
        </is>
      </c>
    </row>
    <row r="22" ht="28" customHeight="1">
      <c r="A22" s="5" t="inlineStr">
        <is>
          <t>τ, мин</t>
        </is>
      </c>
      <c r="B22" s="5" t="inlineStr">
        <is>
          <t>X</t>
        </is>
      </c>
      <c r="C22" s="5" t="inlineStr">
        <is>
          <t>CA, моль/л</t>
        </is>
      </c>
      <c r="D22" s="5" t="inlineStr">
        <is>
          <t>Y</t>
        </is>
      </c>
      <c r="E22" s="5" t="inlineStr">
        <is>
          <t>CR, моль/л</t>
        </is>
      </c>
      <c r="F22" s="5" t="inlineStr">
        <is>
          <t>Z</t>
        </is>
      </c>
      <c r="G22" s="5" t="inlineStr">
        <is>
          <t>CS, моль/л</t>
        </is>
      </c>
    </row>
    <row r="23">
      <c r="A23" s="6" t="n">
        <v>0</v>
      </c>
      <c r="B23" s="7" t="n">
        <v>0.5448</v>
      </c>
      <c r="C23" s="6" t="n">
        <v>13.656</v>
      </c>
      <c r="D23" s="7" t="n">
        <v>0.3706</v>
      </c>
      <c r="E23" s="6" t="n">
        <v>11.118</v>
      </c>
      <c r="F23" s="7" t="n">
        <v>0.1742</v>
      </c>
      <c r="G23" s="6" t="n">
        <v>5.226</v>
      </c>
    </row>
    <row r="24">
      <c r="A24" s="8" t="n">
        <v>0.5</v>
      </c>
      <c r="B24" s="9" t="n">
        <v>0.6498</v>
      </c>
      <c r="C24" s="8" t="n">
        <v>10.506</v>
      </c>
      <c r="D24" s="9" t="n">
        <v>0.3964</v>
      </c>
      <c r="E24" s="8" t="n">
        <v>11.892</v>
      </c>
      <c r="F24" s="9" t="n">
        <v>0.2535</v>
      </c>
      <c r="G24" s="8" t="n">
        <v>7.605</v>
      </c>
    </row>
    <row r="27">
      <c r="A27" s="10" t="inlineStr">
        <is>
          <t>На входе следующего аппарата X, Y, Z равны выходу предыдущего. S на экране на входе каждого реактора сбрасывается к 1 — это локальный счётчик программы, не физическая селективность.</t>
        </is>
      </c>
    </row>
    <row r="28"/>
  </sheetData>
  <mergeCells count="6">
    <mergeCell ref="A1:G1"/>
    <mergeCell ref="A9:G9"/>
    <mergeCell ref="A3:G3"/>
    <mergeCell ref="A21:G21"/>
    <mergeCell ref="A27:G28"/>
    <mergeCell ref="A15:G15"/>
  </mergeCell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4" customWidth="1" min="5" max="5"/>
    <col width="12" customWidth="1" min="6" max="6"/>
    <col width="14" customWidth="1" min="7" max="7"/>
  </cols>
  <sheetData>
    <row r="1" ht="32" customHeight="1">
      <c r="A1" s="1" t="inlineStr">
        <is>
          <t>Схема 2. Четыре РИС-н одинакового объёма, параллельно, одинаковая нагрузка. Каждый: Vi = 25 л, vi = 12,5 л/мин, τi = 2 мин — как единичный РИС-н л/р №3.</t>
        </is>
      </c>
    </row>
    <row r="3" ht="22" customHeight="1">
      <c r="A3" s="4" t="inlineStr">
        <is>
          <t>Реактор 1 (РИС-н, параллель) — состав тот же, что у остальных трёх</t>
        </is>
      </c>
    </row>
    <row r="4" ht="28" customHeight="1">
      <c r="A4" s="5" t="inlineStr">
        <is>
          <t>τ, мин</t>
        </is>
      </c>
      <c r="B4" s="5" t="inlineStr">
        <is>
          <t>X</t>
        </is>
      </c>
      <c r="C4" s="5" t="inlineStr">
        <is>
          <t>CA, моль/л</t>
        </is>
      </c>
      <c r="D4" s="5" t="inlineStr">
        <is>
          <t>Y</t>
        </is>
      </c>
      <c r="E4" s="5" t="inlineStr">
        <is>
          <t>CR, моль/л</t>
        </is>
      </c>
      <c r="F4" s="5" t="inlineStr">
        <is>
          <t>Z</t>
        </is>
      </c>
      <c r="G4" s="5" t="inlineStr">
        <is>
          <t>CS, моль/л</t>
        </is>
      </c>
    </row>
    <row r="5">
      <c r="A5" s="6" t="n">
        <v>0</v>
      </c>
      <c r="B5" s="7" t="n">
        <v>0</v>
      </c>
      <c r="C5" s="6" t="n">
        <v>30</v>
      </c>
      <c r="D5" s="7" t="n">
        <v>0</v>
      </c>
      <c r="E5" s="6" t="n">
        <v>0</v>
      </c>
      <c r="F5" s="7" t="n">
        <v>0</v>
      </c>
      <c r="G5" s="6" t="n">
        <v>0</v>
      </c>
    </row>
    <row r="6">
      <c r="A6" s="8" t="n">
        <v>2</v>
      </c>
      <c r="B6" s="9" t="n">
        <v>0.5454</v>
      </c>
      <c r="C6" s="8" t="n">
        <v>13.638</v>
      </c>
      <c r="D6" s="9" t="n">
        <v>0.303</v>
      </c>
      <c r="E6" s="8" t="n">
        <v>9.09</v>
      </c>
      <c r="F6" s="9" t="n">
        <v>0.2424</v>
      </c>
      <c r="G6" s="8" t="n">
        <v>7.272</v>
      </c>
    </row>
    <row r="9" ht="22" customHeight="1">
      <c r="A9" s="4" t="inlineStr">
        <is>
          <t>Реактор 2 (РИС-н, параллель) — состав тот же, что у остальных трёх</t>
        </is>
      </c>
    </row>
    <row r="10" ht="28" customHeight="1">
      <c r="A10" s="5" t="inlineStr">
        <is>
          <t>τ, мин</t>
        </is>
      </c>
      <c r="B10" s="5" t="inlineStr">
        <is>
          <t>X</t>
        </is>
      </c>
      <c r="C10" s="5" t="inlineStr">
        <is>
          <t>CA, моль/л</t>
        </is>
      </c>
      <c r="D10" s="5" t="inlineStr">
        <is>
          <t>Y</t>
        </is>
      </c>
      <c r="E10" s="5" t="inlineStr">
        <is>
          <t>CR, моль/л</t>
        </is>
      </c>
      <c r="F10" s="5" t="inlineStr">
        <is>
          <t>Z</t>
        </is>
      </c>
      <c r="G10" s="5" t="inlineStr">
        <is>
          <t>CS, моль/л</t>
        </is>
      </c>
    </row>
    <row r="11">
      <c r="A11" s="6" t="n">
        <v>0</v>
      </c>
      <c r="B11" s="7" t="n">
        <v>0</v>
      </c>
      <c r="C11" s="6" t="n">
        <v>30</v>
      </c>
      <c r="D11" s="7" t="n">
        <v>0</v>
      </c>
      <c r="E11" s="6" t="n">
        <v>0</v>
      </c>
      <c r="F11" s="7" t="n">
        <v>0</v>
      </c>
      <c r="G11" s="6" t="n">
        <v>0</v>
      </c>
    </row>
    <row r="12">
      <c r="A12" s="8" t="n">
        <v>2</v>
      </c>
      <c r="B12" s="9" t="n">
        <v>0.5454</v>
      </c>
      <c r="C12" s="8" t="n">
        <v>13.638</v>
      </c>
      <c r="D12" s="9" t="n">
        <v>0.303</v>
      </c>
      <c r="E12" s="8" t="n">
        <v>9.09</v>
      </c>
      <c r="F12" s="9" t="n">
        <v>0.2424</v>
      </c>
      <c r="G12" s="8" t="n">
        <v>7.272</v>
      </c>
    </row>
    <row r="15" ht="22" customHeight="1">
      <c r="A15" s="4" t="inlineStr">
        <is>
          <t>Реактор 3 (РИС-н, параллель) — состав тот же, что у остальных трёх</t>
        </is>
      </c>
    </row>
    <row r="16" ht="28" customHeight="1">
      <c r="A16" s="5" t="inlineStr">
        <is>
          <t>τ, мин</t>
        </is>
      </c>
      <c r="B16" s="5" t="inlineStr">
        <is>
          <t>X</t>
        </is>
      </c>
      <c r="C16" s="5" t="inlineStr">
        <is>
          <t>CA, моль/л</t>
        </is>
      </c>
      <c r="D16" s="5" t="inlineStr">
        <is>
          <t>Y</t>
        </is>
      </c>
      <c r="E16" s="5" t="inlineStr">
        <is>
          <t>CR, моль/л</t>
        </is>
      </c>
      <c r="F16" s="5" t="inlineStr">
        <is>
          <t>Z</t>
        </is>
      </c>
      <c r="G16" s="5" t="inlineStr">
        <is>
          <t>CS, моль/л</t>
        </is>
      </c>
    </row>
    <row r="17">
      <c r="A17" s="6" t="n">
        <v>0</v>
      </c>
      <c r="B17" s="7" t="n">
        <v>0</v>
      </c>
      <c r="C17" s="6" t="n">
        <v>30</v>
      </c>
      <c r="D17" s="7" t="n">
        <v>0</v>
      </c>
      <c r="E17" s="6" t="n">
        <v>0</v>
      </c>
      <c r="F17" s="7" t="n">
        <v>0</v>
      </c>
      <c r="G17" s="6" t="n">
        <v>0</v>
      </c>
    </row>
    <row r="18">
      <c r="A18" s="8" t="n">
        <v>2</v>
      </c>
      <c r="B18" s="9" t="n">
        <v>0.5454</v>
      </c>
      <c r="C18" s="8" t="n">
        <v>13.638</v>
      </c>
      <c r="D18" s="9" t="n">
        <v>0.303</v>
      </c>
      <c r="E18" s="8" t="n">
        <v>9.09</v>
      </c>
      <c r="F18" s="9" t="n">
        <v>0.2424</v>
      </c>
      <c r="G18" s="8" t="n">
        <v>7.272</v>
      </c>
    </row>
    <row r="21" ht="22" customHeight="1">
      <c r="A21" s="4" t="inlineStr">
        <is>
          <t>Реактор 4 (РИС-н, параллель) — состав тот же, что у остальных трёх</t>
        </is>
      </c>
    </row>
    <row r="22" ht="28" customHeight="1">
      <c r="A22" s="5" t="inlineStr">
        <is>
          <t>τ, мин</t>
        </is>
      </c>
      <c r="B22" s="5" t="inlineStr">
        <is>
          <t>X</t>
        </is>
      </c>
      <c r="C22" s="5" t="inlineStr">
        <is>
          <t>CA, моль/л</t>
        </is>
      </c>
      <c r="D22" s="5" t="inlineStr">
        <is>
          <t>Y</t>
        </is>
      </c>
      <c r="E22" s="5" t="inlineStr">
        <is>
          <t>CR, моль/л</t>
        </is>
      </c>
      <c r="F22" s="5" t="inlineStr">
        <is>
          <t>Z</t>
        </is>
      </c>
      <c r="G22" s="5" t="inlineStr">
        <is>
          <t>CS, моль/л</t>
        </is>
      </c>
    </row>
    <row r="23">
      <c r="A23" s="6" t="n">
        <v>0</v>
      </c>
      <c r="B23" s="7" t="n">
        <v>0</v>
      </c>
      <c r="C23" s="6" t="n">
        <v>30</v>
      </c>
      <c r="D23" s="7" t="n">
        <v>0</v>
      </c>
      <c r="E23" s="6" t="n">
        <v>0</v>
      </c>
      <c r="F23" s="7" t="n">
        <v>0</v>
      </c>
      <c r="G23" s="6" t="n">
        <v>0</v>
      </c>
    </row>
    <row r="24">
      <c r="A24" s="8" t="n">
        <v>2</v>
      </c>
      <c r="B24" s="9" t="n">
        <v>0.5454</v>
      </c>
      <c r="C24" s="8" t="n">
        <v>13.638</v>
      </c>
      <c r="D24" s="9" t="n">
        <v>0.303</v>
      </c>
      <c r="E24" s="8" t="n">
        <v>9.09</v>
      </c>
      <c r="F24" s="9" t="n">
        <v>0.2424</v>
      </c>
      <c r="G24" s="8" t="n">
        <v>7.272</v>
      </c>
    </row>
    <row r="27">
      <c r="A27" s="10" t="inlineStr">
        <is>
          <t>Проверка баланса РИС-н: X = 0.5455, Y = 0.3030, Z = 0.2424 (совпадает с экраном 0,5454 / 0,3030 / 0,2424).</t>
        </is>
      </c>
    </row>
  </sheetData>
  <mergeCells count="6">
    <mergeCell ref="A1:G1"/>
    <mergeCell ref="A9:G9"/>
    <mergeCell ref="A27:G27"/>
    <mergeCell ref="A3:G3"/>
    <mergeCell ref="A21:G21"/>
    <mergeCell ref="A15:G15"/>
  </mergeCells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4" customWidth="1" min="5" max="5"/>
    <col width="12" customWidth="1" min="6" max="6"/>
    <col width="14" customWidth="1" min="7" max="7"/>
  </cols>
  <sheetData>
    <row r="1" ht="32" customHeight="1">
      <c r="A1" s="1" t="inlineStr">
        <is>
          <t>Схема 3. Четыре РИВ одинакового объёма, последовательно. Каждый τi = 0,5 мин; вместе эквивалентны одному РИВ V = 100 л, τ = 2 мин.</t>
        </is>
      </c>
    </row>
    <row r="3" ht="22" customHeight="1">
      <c r="A3" s="4" t="inlineStr">
        <is>
          <t>Реактор 1 (РИВ), τi = 0…0,5 мин (шаг 0,1)</t>
        </is>
      </c>
    </row>
    <row r="4" ht="28" customHeight="1">
      <c r="A4" s="5" t="inlineStr">
        <is>
          <t>τ, мин</t>
        </is>
      </c>
      <c r="B4" s="5" t="inlineStr">
        <is>
          <t>X</t>
        </is>
      </c>
      <c r="C4" s="5" t="inlineStr">
        <is>
          <t>CA, моль/л</t>
        </is>
      </c>
      <c r="D4" s="5" t="inlineStr">
        <is>
          <t>Y</t>
        </is>
      </c>
      <c r="E4" s="5" t="inlineStr">
        <is>
          <t>CR, моль/л</t>
        </is>
      </c>
      <c r="F4" s="5" t="inlineStr">
        <is>
          <t>Z</t>
        </is>
      </c>
      <c r="G4" s="5" t="inlineStr">
        <is>
          <t>CS, моль/л</t>
        </is>
      </c>
    </row>
    <row r="5">
      <c r="A5" s="6" t="n">
        <v>0</v>
      </c>
      <c r="B5" s="7" t="n">
        <v>0</v>
      </c>
      <c r="C5" s="6" t="n">
        <v>30</v>
      </c>
      <c r="D5" s="7" t="n">
        <v>0</v>
      </c>
      <c r="E5" s="6" t="n">
        <v>0</v>
      </c>
      <c r="F5" s="7" t="n">
        <v>0</v>
      </c>
      <c r="G5" s="6" t="n">
        <v>0</v>
      </c>
    </row>
    <row r="6">
      <c r="A6" s="8" t="n">
        <v>0.1</v>
      </c>
      <c r="B6" s="9" t="n">
        <v>0.0582</v>
      </c>
      <c r="C6" s="8" t="n">
        <v>28.254</v>
      </c>
      <c r="D6" s="9" t="n">
        <v>0.0571</v>
      </c>
      <c r="E6" s="8" t="n">
        <v>1.713</v>
      </c>
      <c r="F6" s="9" t="n">
        <v>0.0012</v>
      </c>
      <c r="G6" s="8" t="n">
        <v>0.036</v>
      </c>
    </row>
    <row r="7">
      <c r="A7" s="6" t="n">
        <v>0.2</v>
      </c>
      <c r="B7" s="7" t="n">
        <v>0.1131</v>
      </c>
      <c r="C7" s="6" t="n">
        <v>26.607</v>
      </c>
      <c r="D7" s="7" t="n">
        <v>0.1086</v>
      </c>
      <c r="E7" s="6" t="n">
        <v>3.258</v>
      </c>
      <c r="F7" s="7" t="n">
        <v>0.0045</v>
      </c>
      <c r="G7" s="6" t="n">
        <v>0.135</v>
      </c>
    </row>
    <row r="8">
      <c r="A8" s="8" t="n">
        <v>0.3</v>
      </c>
      <c r="B8" s="9" t="n">
        <v>0.1647</v>
      </c>
      <c r="C8" s="8" t="n">
        <v>25.059</v>
      </c>
      <c r="D8" s="9" t="n">
        <v>0.155</v>
      </c>
      <c r="E8" s="8" t="n">
        <v>4.65</v>
      </c>
      <c r="F8" s="9" t="n">
        <v>0.0098</v>
      </c>
      <c r="G8" s="8" t="n">
        <v>0.294</v>
      </c>
    </row>
    <row r="9">
      <c r="A9" s="6" t="n">
        <v>0.4</v>
      </c>
      <c r="B9" s="7" t="n">
        <v>0.2134</v>
      </c>
      <c r="C9" s="6" t="n">
        <v>23.598</v>
      </c>
      <c r="D9" s="7" t="n">
        <v>0.1965</v>
      </c>
      <c r="E9" s="6" t="n">
        <v>5.895</v>
      </c>
      <c r="F9" s="7" t="n">
        <v>0.0168</v>
      </c>
      <c r="G9" s="6" t="n">
        <v>0.504</v>
      </c>
    </row>
    <row r="10">
      <c r="A10" s="8" t="n">
        <v>0.5</v>
      </c>
      <c r="B10" s="9" t="n">
        <v>0.2592</v>
      </c>
      <c r="C10" s="8" t="n">
        <v>22.224</v>
      </c>
      <c r="D10" s="9" t="n">
        <v>0.2337</v>
      </c>
      <c r="E10" s="8" t="n">
        <v>7.011</v>
      </c>
      <c r="F10" s="9" t="n">
        <v>0.0254</v>
      </c>
      <c r="G10" s="8" t="n">
        <v>0.762</v>
      </c>
    </row>
    <row r="13" ht="22" customHeight="1">
      <c r="A13" s="4" t="inlineStr">
        <is>
          <t>Реактор 2 (РИВ), τi = 0…0,5 мин (шаг 0,1)</t>
        </is>
      </c>
    </row>
    <row r="14" ht="28" customHeight="1">
      <c r="A14" s="5" t="inlineStr">
        <is>
          <t>τ, мин</t>
        </is>
      </c>
      <c r="B14" s="5" t="inlineStr">
        <is>
          <t>X</t>
        </is>
      </c>
      <c r="C14" s="5" t="inlineStr">
        <is>
          <t>CA, моль/л</t>
        </is>
      </c>
      <c r="D14" s="5" t="inlineStr">
        <is>
          <t>Y</t>
        </is>
      </c>
      <c r="E14" s="5" t="inlineStr">
        <is>
          <t>CR, моль/л</t>
        </is>
      </c>
      <c r="F14" s="5" t="inlineStr">
        <is>
          <t>Z</t>
        </is>
      </c>
      <c r="G14" s="5" t="inlineStr">
        <is>
          <t>CS, моль/л</t>
        </is>
      </c>
    </row>
    <row r="15">
      <c r="A15" s="6" t="n">
        <v>0</v>
      </c>
      <c r="B15" s="7" t="n">
        <v>0.2592</v>
      </c>
      <c r="C15" s="6" t="n">
        <v>22.224</v>
      </c>
      <c r="D15" s="7" t="n">
        <v>0.2337</v>
      </c>
      <c r="E15" s="6" t="n">
        <v>7.011</v>
      </c>
      <c r="F15" s="7" t="n">
        <v>0.0254</v>
      </c>
      <c r="G15" s="6" t="n">
        <v>0.762</v>
      </c>
    </row>
    <row r="16">
      <c r="A16" s="8" t="n">
        <v>0.1</v>
      </c>
      <c r="B16" s="9" t="n">
        <v>0.3023</v>
      </c>
      <c r="C16" s="8" t="n">
        <v>20.931</v>
      </c>
      <c r="D16" s="9" t="n">
        <v>0.2669</v>
      </c>
      <c r="E16" s="8" t="n">
        <v>8.007000000000001</v>
      </c>
      <c r="F16" s="9" t="n">
        <v>0.0355</v>
      </c>
      <c r="G16" s="8" t="n">
        <v>1.065</v>
      </c>
    </row>
    <row r="17">
      <c r="A17" s="6" t="n">
        <v>0.2</v>
      </c>
      <c r="B17" s="7" t="n">
        <v>0.343</v>
      </c>
      <c r="C17" s="6" t="n">
        <v>19.71</v>
      </c>
      <c r="D17" s="7" t="n">
        <v>0.2962</v>
      </c>
      <c r="E17" s="6" t="n">
        <v>8.886000000000001</v>
      </c>
      <c r="F17" s="7" t="n">
        <v>0.0467</v>
      </c>
      <c r="G17" s="6" t="n">
        <v>1.401</v>
      </c>
    </row>
    <row r="18">
      <c r="A18" s="8" t="n">
        <v>0.3</v>
      </c>
      <c r="B18" s="9" t="n">
        <v>0.3812</v>
      </c>
      <c r="C18" s="8" t="n">
        <v>18.564</v>
      </c>
      <c r="D18" s="9" t="n">
        <v>0.3221</v>
      </c>
      <c r="E18" s="8" t="n">
        <v>9.663</v>
      </c>
      <c r="F18" s="9" t="n">
        <v>0.0591</v>
      </c>
      <c r="G18" s="8" t="n">
        <v>1.773</v>
      </c>
    </row>
    <row r="19">
      <c r="A19" s="6" t="n">
        <v>0.4</v>
      </c>
      <c r="B19" s="7" t="n">
        <v>0.4173</v>
      </c>
      <c r="C19" s="6" t="n">
        <v>17.481</v>
      </c>
      <c r="D19" s="7" t="n">
        <v>0.3448</v>
      </c>
      <c r="E19" s="6" t="n">
        <v>10.344</v>
      </c>
      <c r="F19" s="7" t="n">
        <v>0.0725</v>
      </c>
      <c r="G19" s="6" t="n">
        <v>2.175</v>
      </c>
    </row>
    <row r="20">
      <c r="A20" s="8" t="n">
        <v>0.5</v>
      </c>
      <c r="B20" s="9" t="n">
        <v>0.4512</v>
      </c>
      <c r="C20" s="8" t="n">
        <v>16.464</v>
      </c>
      <c r="D20" s="9" t="n">
        <v>0.3645</v>
      </c>
      <c r="E20" s="8" t="n">
        <v>10.935</v>
      </c>
      <c r="F20" s="9" t="n">
        <v>0.0867</v>
      </c>
      <c r="G20" s="8" t="n">
        <v>2.601</v>
      </c>
    </row>
    <row r="23" ht="22" customHeight="1">
      <c r="A23" s="4" t="inlineStr">
        <is>
          <t>Реактор 3 (РИВ), τi = 0…0,5 мин (шаг 0,1)</t>
        </is>
      </c>
    </row>
    <row r="24" ht="28" customHeight="1">
      <c r="A24" s="5" t="inlineStr">
        <is>
          <t>τ, мин</t>
        </is>
      </c>
      <c r="B24" s="5" t="inlineStr">
        <is>
          <t>X</t>
        </is>
      </c>
      <c r="C24" s="5" t="inlineStr">
        <is>
          <t>CA, моль/л</t>
        </is>
      </c>
      <c r="D24" s="5" t="inlineStr">
        <is>
          <t>Y</t>
        </is>
      </c>
      <c r="E24" s="5" t="inlineStr">
        <is>
          <t>CR, моль/л</t>
        </is>
      </c>
      <c r="F24" s="5" t="inlineStr">
        <is>
          <t>Z</t>
        </is>
      </c>
      <c r="G24" s="5" t="inlineStr">
        <is>
          <t>CS, моль/л</t>
        </is>
      </c>
    </row>
    <row r="25">
      <c r="A25" s="6" t="n">
        <v>0</v>
      </c>
      <c r="B25" s="7" t="n">
        <v>0.4512</v>
      </c>
      <c r="C25" s="6" t="n">
        <v>16.464</v>
      </c>
      <c r="D25" s="7" t="n">
        <v>0.3645</v>
      </c>
      <c r="E25" s="6" t="n">
        <v>10.935</v>
      </c>
      <c r="F25" s="7" t="n">
        <v>0.0867</v>
      </c>
      <c r="G25" s="6" t="n">
        <v>2.601</v>
      </c>
    </row>
    <row r="26">
      <c r="A26" s="8" t="n">
        <v>0.1</v>
      </c>
      <c r="B26" s="9" t="n">
        <v>0.4831</v>
      </c>
      <c r="C26" s="8" t="n">
        <v>15.507</v>
      </c>
      <c r="D26" s="9" t="n">
        <v>0.3816</v>
      </c>
      <c r="E26" s="8" t="n">
        <v>11.448</v>
      </c>
      <c r="F26" s="9" t="n">
        <v>0.1016</v>
      </c>
      <c r="G26" s="8" t="n">
        <v>3.048</v>
      </c>
    </row>
    <row r="27">
      <c r="A27" s="6" t="n">
        <v>0.2</v>
      </c>
      <c r="B27" s="7" t="n">
        <v>0.5132</v>
      </c>
      <c r="C27" s="6" t="n">
        <v>14.604</v>
      </c>
      <c r="D27" s="7" t="n">
        <v>0.3961</v>
      </c>
      <c r="E27" s="6" t="n">
        <v>11.883</v>
      </c>
      <c r="F27" s="7" t="n">
        <v>0.1172</v>
      </c>
      <c r="G27" s="6" t="n">
        <v>3.516</v>
      </c>
    </row>
    <row r="28">
      <c r="A28" s="8" t="n">
        <v>0.3</v>
      </c>
      <c r="B28" s="9" t="n">
        <v>0.5416</v>
      </c>
      <c r="C28" s="8" t="n">
        <v>13.752</v>
      </c>
      <c r="D28" s="9" t="n">
        <v>0.4083</v>
      </c>
      <c r="E28" s="8" t="n">
        <v>12.249</v>
      </c>
      <c r="F28" s="9" t="n">
        <v>0.1333</v>
      </c>
      <c r="G28" s="8" t="n">
        <v>3.999</v>
      </c>
    </row>
    <row r="29">
      <c r="A29" s="6" t="n">
        <v>0.4</v>
      </c>
      <c r="B29" s="7" t="n">
        <v>0.5683</v>
      </c>
      <c r="C29" s="6" t="n">
        <v>12.951</v>
      </c>
      <c r="D29" s="7" t="n">
        <v>0.4185</v>
      </c>
      <c r="E29" s="6" t="n">
        <v>12.555</v>
      </c>
      <c r="F29" s="7" t="n">
        <v>0.1498</v>
      </c>
      <c r="G29" s="6" t="n">
        <v>4.494</v>
      </c>
    </row>
    <row r="30">
      <c r="A30" s="8" t="n">
        <v>0.5</v>
      </c>
      <c r="B30" s="9" t="n">
        <v>0.5934</v>
      </c>
      <c r="C30" s="8" t="n">
        <v>12.198</v>
      </c>
      <c r="D30" s="9" t="n">
        <v>0.4267</v>
      </c>
      <c r="E30" s="8" t="n">
        <v>12.801</v>
      </c>
      <c r="F30" s="9" t="n">
        <v>0.1667</v>
      </c>
      <c r="G30" s="8" t="n">
        <v>5.000999999999999</v>
      </c>
    </row>
    <row r="33" ht="22" customHeight="1">
      <c r="A33" s="4" t="inlineStr">
        <is>
          <t>Реактор 4 (РИВ), τi = 0…0,5 мин (шаг 0,1)</t>
        </is>
      </c>
    </row>
    <row r="34" ht="28" customHeight="1">
      <c r="A34" s="5" t="inlineStr">
        <is>
          <t>τ, мин</t>
        </is>
      </c>
      <c r="B34" s="5" t="inlineStr">
        <is>
          <t>X</t>
        </is>
      </c>
      <c r="C34" s="5" t="inlineStr">
        <is>
          <t>CA, моль/л</t>
        </is>
      </c>
      <c r="D34" s="5" t="inlineStr">
        <is>
          <t>Y</t>
        </is>
      </c>
      <c r="E34" s="5" t="inlineStr">
        <is>
          <t>CR, моль/л</t>
        </is>
      </c>
      <c r="F34" s="5" t="inlineStr">
        <is>
          <t>Z</t>
        </is>
      </c>
      <c r="G34" s="5" t="inlineStr">
        <is>
          <t>CS, моль/л</t>
        </is>
      </c>
    </row>
    <row r="35">
      <c r="A35" s="6" t="n">
        <v>0</v>
      </c>
      <c r="B35" s="7" t="n">
        <v>0.5934</v>
      </c>
      <c r="C35" s="6" t="n">
        <v>12.198</v>
      </c>
      <c r="D35" s="7" t="n">
        <v>0.4267</v>
      </c>
      <c r="E35" s="6" t="n">
        <v>12.801</v>
      </c>
      <c r="F35" s="7" t="n">
        <v>0.1667</v>
      </c>
      <c r="G35" s="6" t="n">
        <v>5.000999999999999</v>
      </c>
    </row>
    <row r="36">
      <c r="A36" s="8" t="n">
        <v>0.1</v>
      </c>
      <c r="B36" s="9" t="n">
        <v>0.6171</v>
      </c>
      <c r="C36" s="8" t="n">
        <v>11.487</v>
      </c>
      <c r="D36" s="9" t="n">
        <v>0.4332</v>
      </c>
      <c r="E36" s="8" t="n">
        <v>12.996</v>
      </c>
      <c r="F36" s="9" t="n">
        <v>0.1839</v>
      </c>
      <c r="G36" s="8" t="n">
        <v>5.517</v>
      </c>
    </row>
    <row r="37">
      <c r="A37" s="6" t="n">
        <v>0.2</v>
      </c>
      <c r="B37" s="7" t="n">
        <v>0.6394</v>
      </c>
      <c r="C37" s="6" t="n">
        <v>10.818</v>
      </c>
      <c r="D37" s="7" t="n">
        <v>0.4381</v>
      </c>
      <c r="E37" s="6" t="n">
        <v>13.143</v>
      </c>
      <c r="F37" s="7" t="n">
        <v>0.2013</v>
      </c>
      <c r="G37" s="6" t="n">
        <v>6.039000000000001</v>
      </c>
    </row>
    <row r="38">
      <c r="A38" s="8" t="n">
        <v>0.3</v>
      </c>
      <c r="B38" s="9" t="n">
        <v>0.6604</v>
      </c>
      <c r="C38" s="8" t="n">
        <v>10.188</v>
      </c>
      <c r="D38" s="9" t="n">
        <v>0.4415</v>
      </c>
      <c r="E38" s="8" t="n">
        <v>13.245</v>
      </c>
      <c r="F38" s="9" t="n">
        <v>0.2189</v>
      </c>
      <c r="G38" s="8" t="n">
        <v>6.567</v>
      </c>
    </row>
    <row r="39">
      <c r="A39" s="6" t="n">
        <v>0.4</v>
      </c>
      <c r="B39" s="7" t="n">
        <v>0.6802</v>
      </c>
      <c r="C39" s="6" t="n">
        <v>9.593999999999999</v>
      </c>
      <c r="D39" s="7" t="n">
        <v>0.4435</v>
      </c>
      <c r="E39" s="6" t="n">
        <v>13.305</v>
      </c>
      <c r="F39" s="7" t="n">
        <v>0.2366</v>
      </c>
      <c r="G39" s="6" t="n">
        <v>7.098</v>
      </c>
    </row>
    <row r="40">
      <c r="A40" s="8" t="n">
        <v>0.5</v>
      </c>
      <c r="B40" s="9" t="n">
        <v>0.6988</v>
      </c>
      <c r="C40" s="8" t="n">
        <v>9.036000000000001</v>
      </c>
      <c r="D40" s="9" t="n">
        <v>0.4444</v>
      </c>
      <c r="E40" s="8" t="n">
        <v>13.332</v>
      </c>
      <c r="F40" s="9" t="n">
        <v>0.2544</v>
      </c>
      <c r="G40" s="8" t="n">
        <v>7.632000000000001</v>
      </c>
    </row>
    <row r="43">
      <c r="A43" s="10" t="inlineStr">
        <is>
          <t>Выход системы: X = 0.6988, Y = 0.4444, Z = 0.2544 — как единичный РИВ л/р №3 (0,6988 / 0,4444 / 0,2544).</t>
        </is>
      </c>
    </row>
  </sheetData>
  <mergeCells count="6">
    <mergeCell ref="A13:G13"/>
    <mergeCell ref="A1:G1"/>
    <mergeCell ref="A3:G3"/>
    <mergeCell ref="A43:G43"/>
    <mergeCell ref="A33:G33"/>
    <mergeCell ref="A23:G23"/>
  </mergeCell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4" customWidth="1" min="5" max="5"/>
    <col width="12" customWidth="1" min="6" max="6"/>
    <col width="14" customWidth="1" min="7" max="7"/>
  </cols>
  <sheetData>
    <row r="1" ht="32" customHeight="1">
      <c r="A1" s="1" t="inlineStr">
        <is>
          <t>Схема 4. Четыре РИВ одинакового объёма, параллельно, одинаковая нагрузка. Каждый τi = 2 мин — как единичный РИВ л/р №3.</t>
        </is>
      </c>
    </row>
    <row r="3" ht="22" customHeight="1">
      <c r="A3" s="4" t="inlineStr">
        <is>
          <t>Реактор 1 (РИВ, параллель) — профиль тот же, что у остальных трёх</t>
        </is>
      </c>
    </row>
    <row r="4" ht="28" customHeight="1">
      <c r="A4" s="5" t="inlineStr">
        <is>
          <t>τ, мин</t>
        </is>
      </c>
      <c r="B4" s="5" t="inlineStr">
        <is>
          <t>X</t>
        </is>
      </c>
      <c r="C4" s="5" t="inlineStr">
        <is>
          <t>CA, моль/л</t>
        </is>
      </c>
      <c r="D4" s="5" t="inlineStr">
        <is>
          <t>Y</t>
        </is>
      </c>
      <c r="E4" s="5" t="inlineStr">
        <is>
          <t>CR, моль/л</t>
        </is>
      </c>
      <c r="F4" s="5" t="inlineStr">
        <is>
          <t>Z</t>
        </is>
      </c>
      <c r="G4" s="5" t="inlineStr">
        <is>
          <t>CS, моль/л</t>
        </is>
      </c>
    </row>
    <row r="5">
      <c r="A5" s="6" t="n">
        <v>0</v>
      </c>
      <c r="B5" s="7" t="n">
        <v>0</v>
      </c>
      <c r="C5" s="6" t="n">
        <v>30</v>
      </c>
      <c r="D5" s="7" t="n">
        <v>0</v>
      </c>
      <c r="E5" s="6" t="n">
        <v>0</v>
      </c>
      <c r="F5" s="7" t="n">
        <v>0</v>
      </c>
      <c r="G5" s="6" t="n">
        <v>0</v>
      </c>
    </row>
    <row r="6">
      <c r="A6" s="8" t="n">
        <v>0.2</v>
      </c>
      <c r="B6" s="9" t="n">
        <v>0.1131</v>
      </c>
      <c r="C6" s="8" t="n">
        <v>26.607</v>
      </c>
      <c r="D6" s="9" t="n">
        <v>0.1086</v>
      </c>
      <c r="E6" s="8" t="n">
        <v>3.258</v>
      </c>
      <c r="F6" s="9" t="n">
        <v>0.0045</v>
      </c>
      <c r="G6" s="8" t="n">
        <v>0.135</v>
      </c>
    </row>
    <row r="7">
      <c r="A7" s="6" t="n">
        <v>0.4</v>
      </c>
      <c r="B7" s="7" t="n">
        <v>0.2134</v>
      </c>
      <c r="C7" s="6" t="n">
        <v>23.598</v>
      </c>
      <c r="D7" s="7" t="n">
        <v>0.1965</v>
      </c>
      <c r="E7" s="6" t="n">
        <v>5.895</v>
      </c>
      <c r="F7" s="7" t="n">
        <v>0.0168</v>
      </c>
      <c r="G7" s="6" t="n">
        <v>0.504</v>
      </c>
    </row>
    <row r="8">
      <c r="A8" s="8" t="n">
        <v>0.6</v>
      </c>
      <c r="B8" s="9" t="n">
        <v>0.3023</v>
      </c>
      <c r="C8" s="8" t="n">
        <v>20.931</v>
      </c>
      <c r="D8" s="9" t="n">
        <v>0.2669</v>
      </c>
      <c r="E8" s="8" t="n">
        <v>8.007000000000001</v>
      </c>
      <c r="F8" s="9" t="n">
        <v>0.0355</v>
      </c>
      <c r="G8" s="8" t="n">
        <v>1.065</v>
      </c>
    </row>
    <row r="9">
      <c r="A9" s="6" t="n">
        <v>0.8</v>
      </c>
      <c r="B9" s="7" t="n">
        <v>0.3812</v>
      </c>
      <c r="C9" s="6" t="n">
        <v>18.564</v>
      </c>
      <c r="D9" s="7" t="n">
        <v>0.3221</v>
      </c>
      <c r="E9" s="6" t="n">
        <v>9.663</v>
      </c>
      <c r="F9" s="7" t="n">
        <v>0.0591</v>
      </c>
      <c r="G9" s="6" t="n">
        <v>1.773</v>
      </c>
    </row>
    <row r="10">
      <c r="A10" s="8" t="n">
        <v>1</v>
      </c>
      <c r="B10" s="9" t="n">
        <v>0.4512</v>
      </c>
      <c r="C10" s="8" t="n">
        <v>16.464</v>
      </c>
      <c r="D10" s="9" t="n">
        <v>0.3645</v>
      </c>
      <c r="E10" s="8" t="n">
        <v>10.935</v>
      </c>
      <c r="F10" s="9" t="n">
        <v>0.0867</v>
      </c>
      <c r="G10" s="8" t="n">
        <v>2.601</v>
      </c>
    </row>
    <row r="11">
      <c r="A11" s="6" t="n">
        <v>1.2</v>
      </c>
      <c r="B11" s="7" t="n">
        <v>0.5132</v>
      </c>
      <c r="C11" s="6" t="n">
        <v>14.604</v>
      </c>
      <c r="D11" s="7" t="n">
        <v>0.3961</v>
      </c>
      <c r="E11" s="6" t="n">
        <v>11.883</v>
      </c>
      <c r="F11" s="7" t="n">
        <v>0.1172</v>
      </c>
      <c r="G11" s="6" t="n">
        <v>3.516</v>
      </c>
    </row>
    <row r="12">
      <c r="A12" s="8" t="n">
        <v>1.4</v>
      </c>
      <c r="B12" s="9" t="n">
        <v>0.5683</v>
      </c>
      <c r="C12" s="8" t="n">
        <v>12.951</v>
      </c>
      <c r="D12" s="9" t="n">
        <v>0.4185</v>
      </c>
      <c r="E12" s="8" t="n">
        <v>12.555</v>
      </c>
      <c r="F12" s="9" t="n">
        <v>0.1498</v>
      </c>
      <c r="G12" s="8" t="n">
        <v>4.494</v>
      </c>
    </row>
    <row r="13">
      <c r="A13" s="6" t="n">
        <v>1.6</v>
      </c>
      <c r="B13" s="7" t="n">
        <v>0.6171</v>
      </c>
      <c r="C13" s="6" t="n">
        <v>11.487</v>
      </c>
      <c r="D13" s="7" t="n">
        <v>0.4332</v>
      </c>
      <c r="E13" s="6" t="n">
        <v>12.996</v>
      </c>
      <c r="F13" s="7" t="n">
        <v>0.1839</v>
      </c>
      <c r="G13" s="6" t="n">
        <v>5.517</v>
      </c>
    </row>
    <row r="14">
      <c r="A14" s="8" t="n">
        <v>1.8</v>
      </c>
      <c r="B14" s="9" t="n">
        <v>0.6604</v>
      </c>
      <c r="C14" s="8" t="n">
        <v>10.188</v>
      </c>
      <c r="D14" s="9" t="n">
        <v>0.4415</v>
      </c>
      <c r="E14" s="8" t="n">
        <v>13.245</v>
      </c>
      <c r="F14" s="9" t="n">
        <v>0.2189</v>
      </c>
      <c r="G14" s="8" t="n">
        <v>6.567</v>
      </c>
    </row>
    <row r="15">
      <c r="A15" s="6" t="n">
        <v>2</v>
      </c>
      <c r="B15" s="7" t="n">
        <v>0.6988</v>
      </c>
      <c r="C15" s="6" t="n">
        <v>9.036000000000001</v>
      </c>
      <c r="D15" s="7" t="n">
        <v>0.4444</v>
      </c>
      <c r="E15" s="6" t="n">
        <v>13.332</v>
      </c>
      <c r="F15" s="7" t="n">
        <v>0.2544</v>
      </c>
      <c r="G15" s="6" t="n">
        <v>7.632000000000001</v>
      </c>
    </row>
    <row r="18" ht="22" customHeight="1">
      <c r="A18" s="4" t="inlineStr">
        <is>
          <t>Реактор 2 (РИВ, параллель) — профиль тот же, что у остальных трёх</t>
        </is>
      </c>
    </row>
    <row r="19" ht="28" customHeight="1">
      <c r="A19" s="5" t="inlineStr">
        <is>
          <t>τ, мин</t>
        </is>
      </c>
      <c r="B19" s="5" t="inlineStr">
        <is>
          <t>X</t>
        </is>
      </c>
      <c r="C19" s="5" t="inlineStr">
        <is>
          <t>CA, моль/л</t>
        </is>
      </c>
      <c r="D19" s="5" t="inlineStr">
        <is>
          <t>Y</t>
        </is>
      </c>
      <c r="E19" s="5" t="inlineStr">
        <is>
          <t>CR, моль/л</t>
        </is>
      </c>
      <c r="F19" s="5" t="inlineStr">
        <is>
          <t>Z</t>
        </is>
      </c>
      <c r="G19" s="5" t="inlineStr">
        <is>
          <t>CS, моль/л</t>
        </is>
      </c>
    </row>
    <row r="20">
      <c r="A20" s="6" t="n">
        <v>0</v>
      </c>
      <c r="B20" s="7" t="n">
        <v>0</v>
      </c>
      <c r="C20" s="6" t="n">
        <v>30</v>
      </c>
      <c r="D20" s="7" t="n">
        <v>0</v>
      </c>
      <c r="E20" s="6" t="n">
        <v>0</v>
      </c>
      <c r="F20" s="7" t="n">
        <v>0</v>
      </c>
      <c r="G20" s="6" t="n">
        <v>0</v>
      </c>
    </row>
    <row r="21">
      <c r="A21" s="8" t="n">
        <v>0.2</v>
      </c>
      <c r="B21" s="9" t="n">
        <v>0.1131</v>
      </c>
      <c r="C21" s="8" t="n">
        <v>26.607</v>
      </c>
      <c r="D21" s="9" t="n">
        <v>0.1086</v>
      </c>
      <c r="E21" s="8" t="n">
        <v>3.258</v>
      </c>
      <c r="F21" s="9" t="n">
        <v>0.0045</v>
      </c>
      <c r="G21" s="8" t="n">
        <v>0.135</v>
      </c>
    </row>
    <row r="22">
      <c r="A22" s="6" t="n">
        <v>0.4</v>
      </c>
      <c r="B22" s="7" t="n">
        <v>0.2134</v>
      </c>
      <c r="C22" s="6" t="n">
        <v>23.598</v>
      </c>
      <c r="D22" s="7" t="n">
        <v>0.1965</v>
      </c>
      <c r="E22" s="6" t="n">
        <v>5.895</v>
      </c>
      <c r="F22" s="7" t="n">
        <v>0.0168</v>
      </c>
      <c r="G22" s="6" t="n">
        <v>0.504</v>
      </c>
    </row>
    <row r="23">
      <c r="A23" s="8" t="n">
        <v>0.6</v>
      </c>
      <c r="B23" s="9" t="n">
        <v>0.3023</v>
      </c>
      <c r="C23" s="8" t="n">
        <v>20.931</v>
      </c>
      <c r="D23" s="9" t="n">
        <v>0.2669</v>
      </c>
      <c r="E23" s="8" t="n">
        <v>8.007000000000001</v>
      </c>
      <c r="F23" s="9" t="n">
        <v>0.0355</v>
      </c>
      <c r="G23" s="8" t="n">
        <v>1.065</v>
      </c>
    </row>
    <row r="24">
      <c r="A24" s="6" t="n">
        <v>0.8</v>
      </c>
      <c r="B24" s="7" t="n">
        <v>0.3812</v>
      </c>
      <c r="C24" s="6" t="n">
        <v>18.564</v>
      </c>
      <c r="D24" s="7" t="n">
        <v>0.3221</v>
      </c>
      <c r="E24" s="6" t="n">
        <v>9.663</v>
      </c>
      <c r="F24" s="7" t="n">
        <v>0.0591</v>
      </c>
      <c r="G24" s="6" t="n">
        <v>1.773</v>
      </c>
    </row>
    <row r="25">
      <c r="A25" s="8" t="n">
        <v>1</v>
      </c>
      <c r="B25" s="9" t="n">
        <v>0.4512</v>
      </c>
      <c r="C25" s="8" t="n">
        <v>16.464</v>
      </c>
      <c r="D25" s="9" t="n">
        <v>0.3645</v>
      </c>
      <c r="E25" s="8" t="n">
        <v>10.935</v>
      </c>
      <c r="F25" s="9" t="n">
        <v>0.0867</v>
      </c>
      <c r="G25" s="8" t="n">
        <v>2.601</v>
      </c>
    </row>
    <row r="26">
      <c r="A26" s="6" t="n">
        <v>1.2</v>
      </c>
      <c r="B26" s="7" t="n">
        <v>0.5132</v>
      </c>
      <c r="C26" s="6" t="n">
        <v>14.604</v>
      </c>
      <c r="D26" s="7" t="n">
        <v>0.3961</v>
      </c>
      <c r="E26" s="6" t="n">
        <v>11.883</v>
      </c>
      <c r="F26" s="7" t="n">
        <v>0.1172</v>
      </c>
      <c r="G26" s="6" t="n">
        <v>3.516</v>
      </c>
    </row>
    <row r="27">
      <c r="A27" s="8" t="n">
        <v>1.4</v>
      </c>
      <c r="B27" s="9" t="n">
        <v>0.5683</v>
      </c>
      <c r="C27" s="8" t="n">
        <v>12.951</v>
      </c>
      <c r="D27" s="9" t="n">
        <v>0.4185</v>
      </c>
      <c r="E27" s="8" t="n">
        <v>12.555</v>
      </c>
      <c r="F27" s="9" t="n">
        <v>0.1498</v>
      </c>
      <c r="G27" s="8" t="n">
        <v>4.494</v>
      </c>
    </row>
    <row r="28">
      <c r="A28" s="6" t="n">
        <v>1.6</v>
      </c>
      <c r="B28" s="7" t="n">
        <v>0.6171</v>
      </c>
      <c r="C28" s="6" t="n">
        <v>11.487</v>
      </c>
      <c r="D28" s="7" t="n">
        <v>0.4332</v>
      </c>
      <c r="E28" s="6" t="n">
        <v>12.996</v>
      </c>
      <c r="F28" s="7" t="n">
        <v>0.1839</v>
      </c>
      <c r="G28" s="6" t="n">
        <v>5.517</v>
      </c>
    </row>
    <row r="29">
      <c r="A29" s="8" t="n">
        <v>1.8</v>
      </c>
      <c r="B29" s="9" t="n">
        <v>0.6604</v>
      </c>
      <c r="C29" s="8" t="n">
        <v>10.188</v>
      </c>
      <c r="D29" s="9" t="n">
        <v>0.4415</v>
      </c>
      <c r="E29" s="8" t="n">
        <v>13.245</v>
      </c>
      <c r="F29" s="9" t="n">
        <v>0.2189</v>
      </c>
      <c r="G29" s="8" t="n">
        <v>6.567</v>
      </c>
    </row>
    <row r="30">
      <c r="A30" s="6" t="n">
        <v>2</v>
      </c>
      <c r="B30" s="7" t="n">
        <v>0.6988</v>
      </c>
      <c r="C30" s="6" t="n">
        <v>9.036000000000001</v>
      </c>
      <c r="D30" s="7" t="n">
        <v>0.4444</v>
      </c>
      <c r="E30" s="6" t="n">
        <v>13.332</v>
      </c>
      <c r="F30" s="7" t="n">
        <v>0.2544</v>
      </c>
      <c r="G30" s="6" t="n">
        <v>7.632000000000001</v>
      </c>
    </row>
    <row r="33" ht="22" customHeight="1">
      <c r="A33" s="4" t="inlineStr">
        <is>
          <t>Реактор 3 (РИВ, параллель) — профиль тот же, что у остальных трёх</t>
        </is>
      </c>
    </row>
    <row r="34" ht="28" customHeight="1">
      <c r="A34" s="5" t="inlineStr">
        <is>
          <t>τ, мин</t>
        </is>
      </c>
      <c r="B34" s="5" t="inlineStr">
        <is>
          <t>X</t>
        </is>
      </c>
      <c r="C34" s="5" t="inlineStr">
        <is>
          <t>CA, моль/л</t>
        </is>
      </c>
      <c r="D34" s="5" t="inlineStr">
        <is>
          <t>Y</t>
        </is>
      </c>
      <c r="E34" s="5" t="inlineStr">
        <is>
          <t>CR, моль/л</t>
        </is>
      </c>
      <c r="F34" s="5" t="inlineStr">
        <is>
          <t>Z</t>
        </is>
      </c>
      <c r="G34" s="5" t="inlineStr">
        <is>
          <t>CS, моль/л</t>
        </is>
      </c>
    </row>
    <row r="35">
      <c r="A35" s="6" t="n">
        <v>0</v>
      </c>
      <c r="B35" s="7" t="n">
        <v>0</v>
      </c>
      <c r="C35" s="6" t="n">
        <v>30</v>
      </c>
      <c r="D35" s="7" t="n">
        <v>0</v>
      </c>
      <c r="E35" s="6" t="n">
        <v>0</v>
      </c>
      <c r="F35" s="7" t="n">
        <v>0</v>
      </c>
      <c r="G35" s="6" t="n">
        <v>0</v>
      </c>
    </row>
    <row r="36">
      <c r="A36" s="8" t="n">
        <v>0.2</v>
      </c>
      <c r="B36" s="9" t="n">
        <v>0.1131</v>
      </c>
      <c r="C36" s="8" t="n">
        <v>26.607</v>
      </c>
      <c r="D36" s="9" t="n">
        <v>0.1086</v>
      </c>
      <c r="E36" s="8" t="n">
        <v>3.258</v>
      </c>
      <c r="F36" s="9" t="n">
        <v>0.0045</v>
      </c>
      <c r="G36" s="8" t="n">
        <v>0.135</v>
      </c>
    </row>
    <row r="37">
      <c r="A37" s="6" t="n">
        <v>0.4</v>
      </c>
      <c r="B37" s="7" t="n">
        <v>0.2134</v>
      </c>
      <c r="C37" s="6" t="n">
        <v>23.598</v>
      </c>
      <c r="D37" s="7" t="n">
        <v>0.1965</v>
      </c>
      <c r="E37" s="6" t="n">
        <v>5.895</v>
      </c>
      <c r="F37" s="7" t="n">
        <v>0.0168</v>
      </c>
      <c r="G37" s="6" t="n">
        <v>0.504</v>
      </c>
    </row>
    <row r="38">
      <c r="A38" s="8" t="n">
        <v>0.6</v>
      </c>
      <c r="B38" s="9" t="n">
        <v>0.3023</v>
      </c>
      <c r="C38" s="8" t="n">
        <v>20.931</v>
      </c>
      <c r="D38" s="9" t="n">
        <v>0.2669</v>
      </c>
      <c r="E38" s="8" t="n">
        <v>8.007000000000001</v>
      </c>
      <c r="F38" s="9" t="n">
        <v>0.0355</v>
      </c>
      <c r="G38" s="8" t="n">
        <v>1.065</v>
      </c>
    </row>
    <row r="39">
      <c r="A39" s="6" t="n">
        <v>0.8</v>
      </c>
      <c r="B39" s="7" t="n">
        <v>0.3812</v>
      </c>
      <c r="C39" s="6" t="n">
        <v>18.564</v>
      </c>
      <c r="D39" s="7" t="n">
        <v>0.3221</v>
      </c>
      <c r="E39" s="6" t="n">
        <v>9.663</v>
      </c>
      <c r="F39" s="7" t="n">
        <v>0.0591</v>
      </c>
      <c r="G39" s="6" t="n">
        <v>1.773</v>
      </c>
    </row>
    <row r="40">
      <c r="A40" s="8" t="n">
        <v>1</v>
      </c>
      <c r="B40" s="9" t="n">
        <v>0.4512</v>
      </c>
      <c r="C40" s="8" t="n">
        <v>16.464</v>
      </c>
      <c r="D40" s="9" t="n">
        <v>0.3645</v>
      </c>
      <c r="E40" s="8" t="n">
        <v>10.935</v>
      </c>
      <c r="F40" s="9" t="n">
        <v>0.0867</v>
      </c>
      <c r="G40" s="8" t="n">
        <v>2.601</v>
      </c>
    </row>
    <row r="41">
      <c r="A41" s="6" t="n">
        <v>1.2</v>
      </c>
      <c r="B41" s="7" t="n">
        <v>0.5132</v>
      </c>
      <c r="C41" s="6" t="n">
        <v>14.604</v>
      </c>
      <c r="D41" s="7" t="n">
        <v>0.3961</v>
      </c>
      <c r="E41" s="6" t="n">
        <v>11.883</v>
      </c>
      <c r="F41" s="7" t="n">
        <v>0.1172</v>
      </c>
      <c r="G41" s="6" t="n">
        <v>3.516</v>
      </c>
    </row>
    <row r="42">
      <c r="A42" s="8" t="n">
        <v>1.4</v>
      </c>
      <c r="B42" s="9" t="n">
        <v>0.5683</v>
      </c>
      <c r="C42" s="8" t="n">
        <v>12.951</v>
      </c>
      <c r="D42" s="9" t="n">
        <v>0.4185</v>
      </c>
      <c r="E42" s="8" t="n">
        <v>12.555</v>
      </c>
      <c r="F42" s="9" t="n">
        <v>0.1498</v>
      </c>
      <c r="G42" s="8" t="n">
        <v>4.494</v>
      </c>
    </row>
    <row r="43">
      <c r="A43" s="6" t="n">
        <v>1.6</v>
      </c>
      <c r="B43" s="7" t="n">
        <v>0.6171</v>
      </c>
      <c r="C43" s="6" t="n">
        <v>11.487</v>
      </c>
      <c r="D43" s="7" t="n">
        <v>0.4332</v>
      </c>
      <c r="E43" s="6" t="n">
        <v>12.996</v>
      </c>
      <c r="F43" s="7" t="n">
        <v>0.1839</v>
      </c>
      <c r="G43" s="6" t="n">
        <v>5.517</v>
      </c>
    </row>
    <row r="44">
      <c r="A44" s="8" t="n">
        <v>1.8</v>
      </c>
      <c r="B44" s="9" t="n">
        <v>0.6604</v>
      </c>
      <c r="C44" s="8" t="n">
        <v>10.188</v>
      </c>
      <c r="D44" s="9" t="n">
        <v>0.4415</v>
      </c>
      <c r="E44" s="8" t="n">
        <v>13.245</v>
      </c>
      <c r="F44" s="9" t="n">
        <v>0.2189</v>
      </c>
      <c r="G44" s="8" t="n">
        <v>6.567</v>
      </c>
    </row>
    <row r="45">
      <c r="A45" s="6" t="n">
        <v>2</v>
      </c>
      <c r="B45" s="7" t="n">
        <v>0.6988</v>
      </c>
      <c r="C45" s="6" t="n">
        <v>9.036000000000001</v>
      </c>
      <c r="D45" s="7" t="n">
        <v>0.4444</v>
      </c>
      <c r="E45" s="6" t="n">
        <v>13.332</v>
      </c>
      <c r="F45" s="7" t="n">
        <v>0.2544</v>
      </c>
      <c r="G45" s="6" t="n">
        <v>7.632000000000001</v>
      </c>
    </row>
    <row r="48" ht="22" customHeight="1">
      <c r="A48" s="4" t="inlineStr">
        <is>
          <t>Реактор 4 (РИВ, параллель) — профиль тот же, что у остальных трёх</t>
        </is>
      </c>
    </row>
    <row r="49" ht="28" customHeight="1">
      <c r="A49" s="5" t="inlineStr">
        <is>
          <t>τ, мин</t>
        </is>
      </c>
      <c r="B49" s="5" t="inlineStr">
        <is>
          <t>X</t>
        </is>
      </c>
      <c r="C49" s="5" t="inlineStr">
        <is>
          <t>CA, моль/л</t>
        </is>
      </c>
      <c r="D49" s="5" t="inlineStr">
        <is>
          <t>Y</t>
        </is>
      </c>
      <c r="E49" s="5" t="inlineStr">
        <is>
          <t>CR, моль/л</t>
        </is>
      </c>
      <c r="F49" s="5" t="inlineStr">
        <is>
          <t>Z</t>
        </is>
      </c>
      <c r="G49" s="5" t="inlineStr">
        <is>
          <t>CS, моль/л</t>
        </is>
      </c>
    </row>
    <row r="50">
      <c r="A50" s="6" t="n">
        <v>0</v>
      </c>
      <c r="B50" s="7" t="n">
        <v>0</v>
      </c>
      <c r="C50" s="6" t="n">
        <v>30</v>
      </c>
      <c r="D50" s="7" t="n">
        <v>0</v>
      </c>
      <c r="E50" s="6" t="n">
        <v>0</v>
      </c>
      <c r="F50" s="7" t="n">
        <v>0</v>
      </c>
      <c r="G50" s="6" t="n">
        <v>0</v>
      </c>
    </row>
    <row r="51">
      <c r="A51" s="8" t="n">
        <v>0.2</v>
      </c>
      <c r="B51" s="9" t="n">
        <v>0.1131</v>
      </c>
      <c r="C51" s="8" t="n">
        <v>26.607</v>
      </c>
      <c r="D51" s="9" t="n">
        <v>0.1086</v>
      </c>
      <c r="E51" s="8" t="n">
        <v>3.258</v>
      </c>
      <c r="F51" s="9" t="n">
        <v>0.0045</v>
      </c>
      <c r="G51" s="8" t="n">
        <v>0.135</v>
      </c>
    </row>
    <row r="52">
      <c r="A52" s="6" t="n">
        <v>0.4</v>
      </c>
      <c r="B52" s="7" t="n">
        <v>0.2134</v>
      </c>
      <c r="C52" s="6" t="n">
        <v>23.598</v>
      </c>
      <c r="D52" s="7" t="n">
        <v>0.1965</v>
      </c>
      <c r="E52" s="6" t="n">
        <v>5.895</v>
      </c>
      <c r="F52" s="7" t="n">
        <v>0.0168</v>
      </c>
      <c r="G52" s="6" t="n">
        <v>0.504</v>
      </c>
    </row>
    <row r="53">
      <c r="A53" s="8" t="n">
        <v>0.6</v>
      </c>
      <c r="B53" s="9" t="n">
        <v>0.3023</v>
      </c>
      <c r="C53" s="8" t="n">
        <v>20.931</v>
      </c>
      <c r="D53" s="9" t="n">
        <v>0.2669</v>
      </c>
      <c r="E53" s="8" t="n">
        <v>8.007000000000001</v>
      </c>
      <c r="F53" s="9" t="n">
        <v>0.0355</v>
      </c>
      <c r="G53" s="8" t="n">
        <v>1.065</v>
      </c>
    </row>
    <row r="54">
      <c r="A54" s="6" t="n">
        <v>0.8</v>
      </c>
      <c r="B54" s="7" t="n">
        <v>0.3812</v>
      </c>
      <c r="C54" s="6" t="n">
        <v>18.564</v>
      </c>
      <c r="D54" s="7" t="n">
        <v>0.3221</v>
      </c>
      <c r="E54" s="6" t="n">
        <v>9.663</v>
      </c>
      <c r="F54" s="7" t="n">
        <v>0.0591</v>
      </c>
      <c r="G54" s="6" t="n">
        <v>1.773</v>
      </c>
    </row>
    <row r="55">
      <c r="A55" s="8" t="n">
        <v>1</v>
      </c>
      <c r="B55" s="9" t="n">
        <v>0.4512</v>
      </c>
      <c r="C55" s="8" t="n">
        <v>16.464</v>
      </c>
      <c r="D55" s="9" t="n">
        <v>0.3645</v>
      </c>
      <c r="E55" s="8" t="n">
        <v>10.935</v>
      </c>
      <c r="F55" s="9" t="n">
        <v>0.0867</v>
      </c>
      <c r="G55" s="8" t="n">
        <v>2.601</v>
      </c>
    </row>
    <row r="56">
      <c r="A56" s="6" t="n">
        <v>1.2</v>
      </c>
      <c r="B56" s="7" t="n">
        <v>0.5132</v>
      </c>
      <c r="C56" s="6" t="n">
        <v>14.604</v>
      </c>
      <c r="D56" s="7" t="n">
        <v>0.3961</v>
      </c>
      <c r="E56" s="6" t="n">
        <v>11.883</v>
      </c>
      <c r="F56" s="7" t="n">
        <v>0.1172</v>
      </c>
      <c r="G56" s="6" t="n">
        <v>3.516</v>
      </c>
    </row>
    <row r="57">
      <c r="A57" s="8" t="n">
        <v>1.4</v>
      </c>
      <c r="B57" s="9" t="n">
        <v>0.5683</v>
      </c>
      <c r="C57" s="8" t="n">
        <v>12.951</v>
      </c>
      <c r="D57" s="9" t="n">
        <v>0.4185</v>
      </c>
      <c r="E57" s="8" t="n">
        <v>12.555</v>
      </c>
      <c r="F57" s="9" t="n">
        <v>0.1498</v>
      </c>
      <c r="G57" s="8" t="n">
        <v>4.494</v>
      </c>
    </row>
    <row r="58">
      <c r="A58" s="6" t="n">
        <v>1.6</v>
      </c>
      <c r="B58" s="7" t="n">
        <v>0.6171</v>
      </c>
      <c r="C58" s="6" t="n">
        <v>11.487</v>
      </c>
      <c r="D58" s="7" t="n">
        <v>0.4332</v>
      </c>
      <c r="E58" s="6" t="n">
        <v>12.996</v>
      </c>
      <c r="F58" s="7" t="n">
        <v>0.1839</v>
      </c>
      <c r="G58" s="6" t="n">
        <v>5.517</v>
      </c>
    </row>
    <row r="59">
      <c r="A59" s="8" t="n">
        <v>1.8</v>
      </c>
      <c r="B59" s="9" t="n">
        <v>0.6604</v>
      </c>
      <c r="C59" s="8" t="n">
        <v>10.188</v>
      </c>
      <c r="D59" s="9" t="n">
        <v>0.4415</v>
      </c>
      <c r="E59" s="8" t="n">
        <v>13.245</v>
      </c>
      <c r="F59" s="9" t="n">
        <v>0.2189</v>
      </c>
      <c r="G59" s="8" t="n">
        <v>6.567</v>
      </c>
    </row>
    <row r="60">
      <c r="A60" s="6" t="n">
        <v>2</v>
      </c>
      <c r="B60" s="7" t="n">
        <v>0.6988</v>
      </c>
      <c r="C60" s="6" t="n">
        <v>9.036000000000001</v>
      </c>
      <c r="D60" s="7" t="n">
        <v>0.4444</v>
      </c>
      <c r="E60" s="6" t="n">
        <v>13.332</v>
      </c>
      <c r="F60" s="7" t="n">
        <v>0.2544</v>
      </c>
      <c r="G60" s="6" t="n">
        <v>7.632000000000001</v>
      </c>
    </row>
  </sheetData>
  <mergeCells count="5">
    <mergeCell ref="A1:G1"/>
    <mergeCell ref="A18:G18"/>
    <mergeCell ref="A3:G3"/>
    <mergeCell ref="A48:G48"/>
    <mergeCell ref="A33:G33"/>
  </mergeCell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14" customWidth="1" min="4" max="4"/>
    <col width="16" customWidth="1" min="5" max="5"/>
    <col width="42" customWidth="1" min="6" max="6"/>
  </cols>
  <sheetData>
    <row r="1">
      <c r="A1" s="1" t="inlineStr">
        <is>
          <t>Производительность систем по R и сравнение (п. 3–4 задания)</t>
        </is>
      </c>
    </row>
    <row r="3" ht="28" customHeight="1">
      <c r="A3" s="5" t="inlineStr">
        <is>
          <t>Схема</t>
        </is>
      </c>
      <c r="B3" s="5" t="inlineStr">
        <is>
          <t>X вых.</t>
        </is>
      </c>
      <c r="C3" s="5" t="inlineStr">
        <is>
          <t>Y вых.</t>
        </is>
      </c>
      <c r="D3" s="5" t="inlineStr">
        <is>
          <t>CR, моль/л</t>
        </is>
      </c>
      <c r="E3" s="5" t="inlineStr">
        <is>
          <t>ΠR, кмоль/ч</t>
        </is>
      </c>
      <c r="F3" s="5" t="inlineStr">
        <is>
          <t>Примечание</t>
        </is>
      </c>
    </row>
    <row r="4">
      <c r="A4" s="11" t="inlineStr">
        <is>
          <t>Единичный РИС-н (л/р №3)</t>
        </is>
      </c>
      <c r="B4" s="7" t="n">
        <v>0.5454</v>
      </c>
      <c r="C4" s="7" t="n">
        <v>0.303</v>
      </c>
      <c r="D4" s="6" t="n">
        <v>9.09</v>
      </c>
      <c r="E4" s="6" t="n">
        <v>27.27</v>
      </c>
      <c r="F4" s="11" t="inlineStr">
        <is>
          <t>τ = 2 мин, V = 100 л</t>
        </is>
      </c>
    </row>
    <row r="5">
      <c r="A5" s="12" t="inlineStr">
        <is>
          <t>Единичный РИВ (л/р №3)</t>
        </is>
      </c>
      <c r="B5" s="13" t="n">
        <v>0.6988</v>
      </c>
      <c r="C5" s="13" t="n">
        <v>0.4444</v>
      </c>
      <c r="D5" s="14" t="n">
        <v>13.332</v>
      </c>
      <c r="E5" s="14" t="n">
        <v>39.996</v>
      </c>
      <c r="F5" s="12" t="inlineStr">
        <is>
          <t>τ = 2 мин, V = 100 л</t>
        </is>
      </c>
    </row>
    <row r="6">
      <c r="A6" s="11" t="inlineStr">
        <is>
          <t>4 РИС-н последовательно</t>
        </is>
      </c>
      <c r="B6" s="7" t="n">
        <v>0.6498</v>
      </c>
      <c r="C6" s="7" t="n">
        <v>0.3964</v>
      </c>
      <c r="D6" s="6" t="n">
        <v>11.892</v>
      </c>
      <c r="E6" s="6" t="n">
        <v>35.676</v>
      </c>
      <c r="F6" s="11" t="inlineStr">
        <is>
          <t>τi = 0,5 мин, Στ = 2 мин</t>
        </is>
      </c>
    </row>
    <row r="7">
      <c r="A7" s="11" t="inlineStr">
        <is>
          <t>4 РИС-н параллельно</t>
        </is>
      </c>
      <c r="B7" s="7" t="n">
        <v>0.5454</v>
      </c>
      <c r="C7" s="7" t="n">
        <v>0.303</v>
      </c>
      <c r="D7" s="6" t="n">
        <v>9.09</v>
      </c>
      <c r="E7" s="6" t="n">
        <v>27.27</v>
      </c>
      <c r="F7" s="11" t="inlineStr">
        <is>
          <t>как один РИС-н: τi = 2 мин</t>
        </is>
      </c>
    </row>
    <row r="8">
      <c r="A8" s="12" t="inlineStr">
        <is>
          <t>4 РИВ последовательно</t>
        </is>
      </c>
      <c r="B8" s="13" t="n">
        <v>0.6988</v>
      </c>
      <c r="C8" s="13" t="n">
        <v>0.4444</v>
      </c>
      <c r="D8" s="14" t="n">
        <v>13.332</v>
      </c>
      <c r="E8" s="14" t="n">
        <v>39.996</v>
      </c>
      <c r="F8" s="12" t="inlineStr">
        <is>
          <t>как один РИВ: Στ = 2 мин</t>
        </is>
      </c>
    </row>
    <row r="9">
      <c r="A9" s="12" t="inlineStr">
        <is>
          <t>4 РИВ параллельно</t>
        </is>
      </c>
      <c r="B9" s="13" t="n">
        <v>0.6988</v>
      </c>
      <c r="C9" s="13" t="n">
        <v>0.4444</v>
      </c>
      <c r="D9" s="14" t="n">
        <v>13.332</v>
      </c>
      <c r="E9" s="14" t="n">
        <v>39.996</v>
      </c>
      <c r="F9" s="12" t="inlineStr">
        <is>
          <t>как один РИВ: τi = 2 мин</t>
        </is>
      </c>
    </row>
    <row r="28">
      <c r="A28" s="15" t="inlineStr">
        <is>
          <t>Вывод</t>
        </is>
      </c>
    </row>
    <row r="29" ht="80" customHeight="1">
      <c r="A29" s="16" t="inlineStr">
        <is>
          <t>Кинетика n1 = n2 = 1, k1 = 0,6 мин⁻¹, k2 = 0,4 мин⁻¹, CA0 = 30 моль/л, суммарный объём 100 л, расход системы 50 л/мин.
Четыре РИС-н параллельно дают тот же выход, что единичный РИС-н (X = 0,5454, ΠR = 27,27 кмоль/ч): нагрузка и τ на каждый аппарат те же (τi = 2 мин). Четыре РИВ — и последовательно, и параллельно — совпадают с единичным РИВ (X = 0,6988, ΠR = 40,00 кмоль/ч): в ряду складываются времена пребывания, в параллели каждое τi = 2 мин при том же кинетическом режиме.
Четыре РИС-н последовательно лучше одного РИС-н и хуже РИВ: X = 0,6498, Y = 0,3964, ΠR = 35,68 кмоль/ч. Каскад смешения приближается к вытеснению (модель ёмкостей в ряду).
Гидравлическое сопротивление. В последовательных схемах через каждый аппарат идёт полный расход 50 л/мин, перепады складываются — сопротивление системы выше. В параллельных схемах расход на аппарат 12,5 л/мин, общий ΔP определяется одной ветвью и заметно меньше. По ΠR вытеснение (ряд или параллель) равно и максимально; по гидравлике выгоднее параллельный РИВ: та же производительность 40 кмоль/ч при меньшем сопротивлении.</t>
        </is>
      </c>
    </row>
    <row r="30"/>
    <row r="31"/>
    <row r="32"/>
    <row r="33"/>
    <row r="34"/>
    <row r="35"/>
    <row r="36"/>
  </sheetData>
  <mergeCells count="2">
    <mergeCell ref="A29:F36"/>
    <mergeCell ref="A1:F1"/>
  </mergeCells>
  <pageMargins left="0.75" right="0.75" top="1" bottom="1" header="0.5" footer="0.5"/>
  <pageSetup orientation="landscape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2026-09-15T17:17:54Z</dcterms:created>
  <dcterms:modified xsi:type="dcterms:W3CDTF">2026-09-15T17:17:54Z</dcterms:modified>
</cp:coreProperties>
</file>